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agang BPS\Tugas\Data Si Cantik\Tenaga Kerja\"/>
    </mc:Choice>
  </mc:AlternateContent>
  <bookViews>
    <workbookView xWindow="0" yWindow="0" windowWidth="19200" windowHeight="6610" activeTab="4"/>
  </bookViews>
  <sheets>
    <sheet name="2020" sheetId="1" r:id="rId1"/>
    <sheet name="2021" sheetId="2" r:id="rId2"/>
    <sheet name="2022" sheetId="3" r:id="rId3"/>
    <sheet name="2023" sheetId="4" r:id="rId4"/>
    <sheet name="2024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" i="5" l="1"/>
  <c r="D8" i="5"/>
  <c r="D7" i="5"/>
  <c r="D5" i="5"/>
  <c r="D4" i="5"/>
  <c r="D9" i="4"/>
  <c r="D8" i="4"/>
  <c r="D7" i="4"/>
  <c r="D5" i="4"/>
  <c r="D4" i="4"/>
  <c r="D9" i="3"/>
  <c r="D8" i="3"/>
  <c r="D7" i="3"/>
  <c r="D5" i="3"/>
  <c r="D4" i="3"/>
  <c r="D7" i="2"/>
  <c r="D8" i="2"/>
  <c r="D9" i="2"/>
  <c r="D5" i="2"/>
  <c r="D4" i="2"/>
  <c r="B3" i="2"/>
  <c r="D3" i="2" s="1"/>
  <c r="C6" i="5"/>
  <c r="B6" i="5"/>
  <c r="C3" i="5"/>
  <c r="B3" i="5"/>
  <c r="B10" i="5" s="1"/>
  <c r="C6" i="4"/>
  <c r="B6" i="4"/>
  <c r="C3" i="4"/>
  <c r="B3" i="4"/>
  <c r="C6" i="3"/>
  <c r="B6" i="3"/>
  <c r="C3" i="3"/>
  <c r="B3" i="3"/>
  <c r="C6" i="2"/>
  <c r="B6" i="2"/>
  <c r="D6" i="2" s="1"/>
  <c r="C3" i="2"/>
  <c r="C10" i="2" s="1"/>
  <c r="C6" i="1"/>
  <c r="D6" i="1"/>
  <c r="D10" i="1" s="1"/>
  <c r="B6" i="1"/>
  <c r="C3" i="1"/>
  <c r="D3" i="1"/>
  <c r="B3" i="1"/>
  <c r="D6" i="5" l="1"/>
  <c r="C10" i="5"/>
  <c r="D3" i="5"/>
  <c r="D10" i="5" s="1"/>
  <c r="D6" i="4"/>
  <c r="C10" i="4"/>
  <c r="B10" i="4"/>
  <c r="D3" i="4"/>
  <c r="C10" i="3"/>
  <c r="D6" i="3"/>
  <c r="D3" i="3"/>
  <c r="D10" i="3" s="1"/>
  <c r="B10" i="3"/>
  <c r="B10" i="2"/>
  <c r="D10" i="2"/>
  <c r="C10" i="1"/>
  <c r="B10" i="1"/>
  <c r="D10" i="4" l="1"/>
</calcChain>
</file>

<file path=xl/sharedStrings.xml><?xml version="1.0" encoding="utf-8"?>
<sst xmlns="http://schemas.openxmlformats.org/spreadsheetml/2006/main" count="70" uniqueCount="14">
  <si>
    <t>Jenis Kegiatan</t>
  </si>
  <si>
    <t>Laki-Laki</t>
  </si>
  <si>
    <t>Perempuan</t>
  </si>
  <si>
    <t>Jumlah</t>
  </si>
  <si>
    <t>Angkatan Kerja</t>
  </si>
  <si>
    <t>- Bekerja</t>
  </si>
  <si>
    <t>- Pengangguran Terbuka</t>
  </si>
  <si>
    <t>Bukan Angkatan Kerja</t>
  </si>
  <si>
    <t>- Sekolah</t>
  </si>
  <si>
    <t>- Mengurus Rumah Tangga</t>
  </si>
  <si>
    <t>- Lainnya</t>
  </si>
  <si>
    <t>Total Penduduk Usia Kerja</t>
  </si>
  <si>
    <t>Sumber: BPS, Survei Angkatan Kerja Nasional (Sakernas) Agustus</t>
  </si>
  <si>
    <t>Jumlah Penduduk Usia Kerja (15+ tahun) Kota Semarang Menurut Kegiatan dan Jenis Kelamin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</si>
</sst>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quotePrefix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3" fontId="1" fillId="0" borderId="1" xfId="0" applyNumberFormat="1" applyFont="1" applyBorder="1" applyAlignment="1">
      <alignment vertical="center"/>
    </xf>
    <xf numFmtId="3" fontId="0" fillId="0" borderId="1" xfId="0" applyNumberFormat="1" applyBorder="1" applyAlignment="1">
      <alignment vertical="center"/>
    </xf>
    <xf numFmtId="3" fontId="1" fillId="2" borderId="1" xfId="0" applyNumberFormat="1" applyFont="1" applyFill="1" applyBorder="1" applyAlignment="1">
      <alignment vertical="center"/>
    </xf>
    <xf numFmtId="3" fontId="0" fillId="0" borderId="1" xfId="0" applyNumberFormat="1" applyFont="1" applyBorder="1" applyAlignment="1">
      <alignment vertical="center"/>
    </xf>
    <xf numFmtId="2" fontId="0" fillId="0" borderId="0" xfId="0" applyNumberFormat="1"/>
    <xf numFmtId="0" fontId="2" fillId="0" borderId="2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Penduduk Usia Kerja Menurut Kegiatan Utama di Kota Semarang</a:t>
            </a:r>
            <a:endParaRPr lang="en-U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('2020'!$A$4:$A$5,'2020'!$A$7:$A$9)</c:f>
              <c:strCache>
                <c:ptCount val="5"/>
                <c:pt idx="0">
                  <c:v>- Bekerja</c:v>
                </c:pt>
                <c:pt idx="1">
                  <c:v>- Pengangguran Terbuka</c:v>
                </c:pt>
                <c:pt idx="2">
                  <c:v>- Sekolah</c:v>
                </c:pt>
                <c:pt idx="3">
                  <c:v>- Mengurus Rumah Tangga</c:v>
                </c:pt>
                <c:pt idx="4">
                  <c:v>- Lainnya</c:v>
                </c:pt>
              </c:strCache>
            </c:strRef>
          </c:cat>
          <c:val>
            <c:numRef>
              <c:f>('2020'!$D$4:$D$5,'2020'!$D$7:$D$9)</c:f>
              <c:numCache>
                <c:formatCode>#,##0</c:formatCode>
                <c:ptCount val="5"/>
                <c:pt idx="0">
                  <c:v>925963</c:v>
                </c:pt>
                <c:pt idx="1">
                  <c:v>98001</c:v>
                </c:pt>
                <c:pt idx="2">
                  <c:v>151538</c:v>
                </c:pt>
                <c:pt idx="3">
                  <c:v>232208</c:v>
                </c:pt>
                <c:pt idx="4">
                  <c:v>57411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1A-485D-8898-FE0E0471EF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53333088"/>
        <c:axId val="1253338912"/>
      </c:barChart>
      <c:catAx>
        <c:axId val="1253333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338912"/>
        <c:crosses val="autoZero"/>
        <c:auto val="1"/>
        <c:lblAlgn val="ctr"/>
        <c:lblOffset val="100"/>
        <c:noMultiLvlLbl val="0"/>
      </c:catAx>
      <c:valAx>
        <c:axId val="1253338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333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Penduduk Usia Kerja Menurut Kegiatan Utama di Kota Semarang</a:t>
            </a:r>
            <a:endParaRPr lang="en-U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('2021'!$A$4:$A$5,'2021'!$A$7:$A$9)</c:f>
              <c:strCache>
                <c:ptCount val="5"/>
                <c:pt idx="0">
                  <c:v>- Bekerja</c:v>
                </c:pt>
                <c:pt idx="1">
                  <c:v>- Pengangguran Terbuka</c:v>
                </c:pt>
                <c:pt idx="2">
                  <c:v>- Sekolah</c:v>
                </c:pt>
                <c:pt idx="3">
                  <c:v>- Mengurus Rumah Tangga</c:v>
                </c:pt>
                <c:pt idx="4">
                  <c:v>- Lainnya</c:v>
                </c:pt>
              </c:strCache>
            </c:strRef>
          </c:cat>
          <c:val>
            <c:numRef>
              <c:f>('2021'!$D$4:$D$5,'2021'!$D$7:$D$9)</c:f>
              <c:numCache>
                <c:formatCode>#,##0</c:formatCode>
                <c:ptCount val="5"/>
                <c:pt idx="0">
                  <c:v>936076</c:v>
                </c:pt>
                <c:pt idx="1">
                  <c:v>98718</c:v>
                </c:pt>
                <c:pt idx="2">
                  <c:v>165797</c:v>
                </c:pt>
                <c:pt idx="3">
                  <c:v>222279</c:v>
                </c:pt>
                <c:pt idx="4">
                  <c:v>67872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AF-460B-A69E-E83A7F6B44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74029104"/>
        <c:axId val="1174042832"/>
      </c:barChart>
      <c:catAx>
        <c:axId val="1174029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042832"/>
        <c:crosses val="autoZero"/>
        <c:auto val="1"/>
        <c:lblAlgn val="ctr"/>
        <c:lblOffset val="100"/>
        <c:noMultiLvlLbl val="0"/>
      </c:catAx>
      <c:valAx>
        <c:axId val="1174042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029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Penduduk Usia Kerja Menurut Kegiatan Utama di Kota Semarang</a:t>
            </a:r>
            <a:endParaRPr lang="en-U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('2022'!$A$4:$A$5,'2022'!$A$7:$A$9)</c:f>
              <c:strCache>
                <c:ptCount val="5"/>
                <c:pt idx="0">
                  <c:v>- Bekerja</c:v>
                </c:pt>
                <c:pt idx="1">
                  <c:v>- Pengangguran Terbuka</c:v>
                </c:pt>
                <c:pt idx="2">
                  <c:v>- Sekolah</c:v>
                </c:pt>
                <c:pt idx="3">
                  <c:v>- Mengurus Rumah Tangga</c:v>
                </c:pt>
                <c:pt idx="4">
                  <c:v>- Lainnya</c:v>
                </c:pt>
              </c:strCache>
            </c:strRef>
          </c:cat>
          <c:val>
            <c:numRef>
              <c:f>('2022'!$D$4:$D$5,'2022'!$D$7:$D$9)</c:f>
              <c:numCache>
                <c:formatCode>#,##0</c:formatCode>
                <c:ptCount val="5"/>
                <c:pt idx="0">
                  <c:v>994091</c:v>
                </c:pt>
                <c:pt idx="1">
                  <c:v>81736</c:v>
                </c:pt>
                <c:pt idx="2">
                  <c:v>139678</c:v>
                </c:pt>
                <c:pt idx="3">
                  <c:v>241445</c:v>
                </c:pt>
                <c:pt idx="4">
                  <c:v>59247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9C-4D1C-8B09-9C846AAD0C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74029936"/>
        <c:axId val="1174036176"/>
      </c:barChart>
      <c:catAx>
        <c:axId val="11740299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036176"/>
        <c:crosses val="autoZero"/>
        <c:auto val="1"/>
        <c:lblAlgn val="ctr"/>
        <c:lblOffset val="100"/>
        <c:noMultiLvlLbl val="0"/>
      </c:catAx>
      <c:valAx>
        <c:axId val="1174036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029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Penduduk Usia Kerja Menurut Kegiatan Utama di Kota Semarang</a:t>
            </a:r>
            <a:endParaRPr lang="en-U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('2023'!$A$4:$A$5,'2023'!$A$7:$A$9)</c:f>
              <c:strCache>
                <c:ptCount val="5"/>
                <c:pt idx="0">
                  <c:v>- Bekerja</c:v>
                </c:pt>
                <c:pt idx="1">
                  <c:v>- Pengangguran Terbuka</c:v>
                </c:pt>
                <c:pt idx="2">
                  <c:v>- Sekolah</c:v>
                </c:pt>
                <c:pt idx="3">
                  <c:v>- Mengurus Rumah Tangga</c:v>
                </c:pt>
                <c:pt idx="4">
                  <c:v>- Lainnya</c:v>
                </c:pt>
              </c:strCache>
            </c:strRef>
          </c:cat>
          <c:val>
            <c:numRef>
              <c:f>('2023'!$D$4:$D$5,'2023'!$D$7:$D$9)</c:f>
              <c:numCache>
                <c:formatCode>#,##0</c:formatCode>
                <c:ptCount val="5"/>
                <c:pt idx="0">
                  <c:v>873358</c:v>
                </c:pt>
                <c:pt idx="1">
                  <c:v>55656</c:v>
                </c:pt>
                <c:pt idx="2">
                  <c:v>123051</c:v>
                </c:pt>
                <c:pt idx="3">
                  <c:v>221193</c:v>
                </c:pt>
                <c:pt idx="4">
                  <c:v>64957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D1-422E-82AE-F379070AF6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53530192"/>
        <c:axId val="1253523952"/>
      </c:barChart>
      <c:catAx>
        <c:axId val="12535301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523952"/>
        <c:crosses val="autoZero"/>
        <c:auto val="1"/>
        <c:lblAlgn val="ctr"/>
        <c:lblOffset val="100"/>
        <c:noMultiLvlLbl val="0"/>
      </c:catAx>
      <c:valAx>
        <c:axId val="1253523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530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Penduduk</a:t>
            </a:r>
            <a:r>
              <a:rPr lang="en-US" baseline="0"/>
              <a:t> Usia Kerja Menurut Kegiatan Utama di Kota Semarang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('2024'!$A$4:$A$5,'2024'!$A$7:$A$9)</c:f>
              <c:strCache>
                <c:ptCount val="5"/>
                <c:pt idx="0">
                  <c:v>- Bekerja</c:v>
                </c:pt>
                <c:pt idx="1">
                  <c:v>- Pengangguran Terbuka</c:v>
                </c:pt>
                <c:pt idx="2">
                  <c:v>- Sekolah</c:v>
                </c:pt>
                <c:pt idx="3">
                  <c:v>- Mengurus Rumah Tangga</c:v>
                </c:pt>
                <c:pt idx="4">
                  <c:v>- Lainnya</c:v>
                </c:pt>
              </c:strCache>
            </c:strRef>
          </c:cat>
          <c:val>
            <c:numRef>
              <c:f>('2024'!$D$4:$D$5,'2024'!$D$7:$D$9)</c:f>
              <c:numCache>
                <c:formatCode>#,##0</c:formatCode>
                <c:ptCount val="5"/>
                <c:pt idx="0">
                  <c:v>891497</c:v>
                </c:pt>
                <c:pt idx="1">
                  <c:v>55121</c:v>
                </c:pt>
                <c:pt idx="2">
                  <c:v>135046</c:v>
                </c:pt>
                <c:pt idx="3">
                  <c:v>213826</c:v>
                </c:pt>
                <c:pt idx="4">
                  <c:v>59103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78-4A93-8FBD-ED52A3FD54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77573584"/>
        <c:axId val="1177583568"/>
      </c:barChart>
      <c:catAx>
        <c:axId val="1177573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583568"/>
        <c:crosses val="autoZero"/>
        <c:auto val="1"/>
        <c:lblAlgn val="ctr"/>
        <c:lblOffset val="100"/>
        <c:noMultiLvlLbl val="0"/>
      </c:catAx>
      <c:valAx>
        <c:axId val="1177583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573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600075</xdr:colOff>
      <xdr:row>1</xdr:row>
      <xdr:rowOff>174625</xdr:rowOff>
    </xdr:from>
    <xdr:to>
      <xdr:col>12</xdr:col>
      <xdr:colOff>295275</xdr:colOff>
      <xdr:row>16</xdr:row>
      <xdr:rowOff>155575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606425</xdr:colOff>
      <xdr:row>1</xdr:row>
      <xdr:rowOff>180975</xdr:rowOff>
    </xdr:from>
    <xdr:to>
      <xdr:col>12</xdr:col>
      <xdr:colOff>301625</xdr:colOff>
      <xdr:row>16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3175</xdr:colOff>
      <xdr:row>2</xdr:row>
      <xdr:rowOff>3175</xdr:rowOff>
    </xdr:from>
    <xdr:to>
      <xdr:col>12</xdr:col>
      <xdr:colOff>307975</xdr:colOff>
      <xdr:row>13</xdr:row>
      <xdr:rowOff>168275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3175</xdr:colOff>
      <xdr:row>2</xdr:row>
      <xdr:rowOff>9525</xdr:rowOff>
    </xdr:from>
    <xdr:to>
      <xdr:col>12</xdr:col>
      <xdr:colOff>307975</xdr:colOff>
      <xdr:row>16</xdr:row>
      <xdr:rowOff>174625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3175</xdr:colOff>
      <xdr:row>2</xdr:row>
      <xdr:rowOff>9525</xdr:rowOff>
    </xdr:from>
    <xdr:to>
      <xdr:col>12</xdr:col>
      <xdr:colOff>307975</xdr:colOff>
      <xdr:row>16</xdr:row>
      <xdr:rowOff>174625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sqref="A1:D1"/>
    </sheetView>
  </sheetViews>
  <sheetFormatPr defaultRowHeight="14.5" x14ac:dyDescent="0.35"/>
  <cols>
    <col min="1" max="1" width="23.36328125" bestFit="1" customWidth="1"/>
    <col min="2" max="4" width="10.6328125" customWidth="1"/>
  </cols>
  <sheetData>
    <row r="1" spans="1:4" ht="35" customHeight="1" x14ac:dyDescent="0.35">
      <c r="A1" s="11" t="s">
        <v>13</v>
      </c>
      <c r="B1" s="11"/>
      <c r="C1" s="11"/>
      <c r="D1" s="11"/>
    </row>
    <row r="2" spans="1:4" x14ac:dyDescent="0.35">
      <c r="A2" s="2" t="s">
        <v>0</v>
      </c>
      <c r="B2" s="2" t="s">
        <v>1</v>
      </c>
      <c r="C2" s="2" t="s">
        <v>2</v>
      </c>
      <c r="D2" s="2" t="s">
        <v>3</v>
      </c>
    </row>
    <row r="3" spans="1:4" x14ac:dyDescent="0.35">
      <c r="A3" s="3" t="s">
        <v>4</v>
      </c>
      <c r="B3" s="5">
        <f>SUM(B4:B5)</f>
        <v>568201</v>
      </c>
      <c r="C3" s="5">
        <f t="shared" ref="C3:D3" si="0">SUM(C4:C5)</f>
        <v>455763</v>
      </c>
      <c r="D3" s="5">
        <f t="shared" si="0"/>
        <v>1023964</v>
      </c>
    </row>
    <row r="4" spans="1:4" x14ac:dyDescent="0.35">
      <c r="A4" s="1" t="s">
        <v>5</v>
      </c>
      <c r="B4" s="6">
        <v>510953</v>
      </c>
      <c r="C4" s="6">
        <v>415010</v>
      </c>
      <c r="D4" s="6">
        <v>925963</v>
      </c>
    </row>
    <row r="5" spans="1:4" x14ac:dyDescent="0.35">
      <c r="A5" s="1" t="s">
        <v>6</v>
      </c>
      <c r="B5" s="6">
        <v>57248</v>
      </c>
      <c r="C5" s="6">
        <v>40753</v>
      </c>
      <c r="D5" s="6">
        <v>98001</v>
      </c>
    </row>
    <row r="6" spans="1:4" x14ac:dyDescent="0.35">
      <c r="A6" s="3" t="s">
        <v>7</v>
      </c>
      <c r="B6" s="5">
        <f>SUM(B7:B9)</f>
        <v>143319</v>
      </c>
      <c r="C6" s="5">
        <f t="shared" ref="C6:D6" si="1">SUM(C7:C9)</f>
        <v>297838</v>
      </c>
      <c r="D6" s="5">
        <f t="shared" si="1"/>
        <v>441157</v>
      </c>
    </row>
    <row r="7" spans="1:4" x14ac:dyDescent="0.35">
      <c r="A7" s="1" t="s">
        <v>8</v>
      </c>
      <c r="B7" s="6">
        <v>71282</v>
      </c>
      <c r="C7" s="6">
        <v>80256</v>
      </c>
      <c r="D7" s="6">
        <v>151538</v>
      </c>
    </row>
    <row r="8" spans="1:4" x14ac:dyDescent="0.35">
      <c r="A8" s="1" t="s">
        <v>9</v>
      </c>
      <c r="B8" s="6">
        <v>35547</v>
      </c>
      <c r="C8" s="6">
        <v>196661</v>
      </c>
      <c r="D8" s="6">
        <v>232208</v>
      </c>
    </row>
    <row r="9" spans="1:4" x14ac:dyDescent="0.35">
      <c r="A9" s="1" t="s">
        <v>10</v>
      </c>
      <c r="B9" s="6">
        <v>36490</v>
      </c>
      <c r="C9" s="6">
        <v>20921</v>
      </c>
      <c r="D9" s="6">
        <v>57411</v>
      </c>
    </row>
    <row r="10" spans="1:4" x14ac:dyDescent="0.35">
      <c r="A10" s="4" t="s">
        <v>11</v>
      </c>
      <c r="B10" s="7">
        <f>B3+B6</f>
        <v>711520</v>
      </c>
      <c r="C10" s="7">
        <f t="shared" ref="C10:D10" si="2">C3+C6</f>
        <v>753601</v>
      </c>
      <c r="D10" s="7">
        <f t="shared" si="2"/>
        <v>1465121</v>
      </c>
    </row>
    <row r="11" spans="1:4" x14ac:dyDescent="0.35">
      <c r="A11" s="10" t="s">
        <v>12</v>
      </c>
    </row>
  </sheetData>
  <mergeCells count="1">
    <mergeCell ref="A1:D1"/>
  </mergeCells>
  <pageMargins left="0.7" right="0.7" top="0.75" bottom="0.75" header="0.3" footer="0.3"/>
  <pageSetup orientation="portrait" r:id="rId1"/>
  <ignoredErrors>
    <ignoredError sqref="B3 C3:D3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sqref="A1:D1"/>
    </sheetView>
  </sheetViews>
  <sheetFormatPr defaultRowHeight="14.5" x14ac:dyDescent="0.35"/>
  <cols>
    <col min="1" max="1" width="23.36328125" bestFit="1" customWidth="1"/>
    <col min="2" max="3" width="10.6328125" customWidth="1"/>
    <col min="4" max="4" width="10.54296875" customWidth="1"/>
  </cols>
  <sheetData>
    <row r="1" spans="1:4" ht="35" customHeight="1" x14ac:dyDescent="0.35">
      <c r="A1" s="11" t="s">
        <v>13</v>
      </c>
      <c r="B1" s="11"/>
      <c r="C1" s="11"/>
      <c r="D1" s="11"/>
    </row>
    <row r="2" spans="1:4" x14ac:dyDescent="0.35">
      <c r="A2" s="2" t="s">
        <v>0</v>
      </c>
      <c r="B2" s="2" t="s">
        <v>1</v>
      </c>
      <c r="C2" s="2" t="s">
        <v>2</v>
      </c>
      <c r="D2" s="2" t="s">
        <v>3</v>
      </c>
    </row>
    <row r="3" spans="1:4" x14ac:dyDescent="0.35">
      <c r="A3" s="3" t="s">
        <v>4</v>
      </c>
      <c r="B3" s="5">
        <f>SUM(B4:B5)</f>
        <v>579328</v>
      </c>
      <c r="C3" s="5">
        <f t="shared" ref="C3" si="0">SUM(C4:C5)</f>
        <v>455466</v>
      </c>
      <c r="D3" s="5">
        <f>SUM(B3:C3)</f>
        <v>1034794</v>
      </c>
    </row>
    <row r="4" spans="1:4" x14ac:dyDescent="0.35">
      <c r="A4" s="1" t="s">
        <v>5</v>
      </c>
      <c r="B4" s="6">
        <v>521351</v>
      </c>
      <c r="C4" s="6">
        <v>414725</v>
      </c>
      <c r="D4" s="6">
        <f>SUM(B4:C4)</f>
        <v>936076</v>
      </c>
    </row>
    <row r="5" spans="1:4" x14ac:dyDescent="0.35">
      <c r="A5" s="1" t="s">
        <v>6</v>
      </c>
      <c r="B5" s="6">
        <v>57977</v>
      </c>
      <c r="C5" s="6">
        <v>40741</v>
      </c>
      <c r="D5" s="6">
        <f>SUM(B5:C5)</f>
        <v>98718</v>
      </c>
    </row>
    <row r="6" spans="1:4" x14ac:dyDescent="0.35">
      <c r="A6" s="3" t="s">
        <v>7</v>
      </c>
      <c r="B6" s="5">
        <f>SUM(B7:B9)</f>
        <v>144914</v>
      </c>
      <c r="C6" s="5">
        <f t="shared" ref="C6" si="1">SUM(C7:C9)</f>
        <v>311034</v>
      </c>
      <c r="D6" s="5">
        <f>SUM(B6:C6)</f>
        <v>455948</v>
      </c>
    </row>
    <row r="7" spans="1:4" x14ac:dyDescent="0.35">
      <c r="A7" s="1" t="s">
        <v>8</v>
      </c>
      <c r="B7" s="6">
        <v>80323</v>
      </c>
      <c r="C7" s="6">
        <v>85474</v>
      </c>
      <c r="D7" s="8">
        <f t="shared" ref="D7:D9" si="2">SUM(B7:C7)</f>
        <v>165797</v>
      </c>
    </row>
    <row r="8" spans="1:4" x14ac:dyDescent="0.35">
      <c r="A8" s="1" t="s">
        <v>9</v>
      </c>
      <c r="B8" s="6">
        <v>24223</v>
      </c>
      <c r="C8" s="6">
        <v>198056</v>
      </c>
      <c r="D8" s="8">
        <f t="shared" si="2"/>
        <v>222279</v>
      </c>
    </row>
    <row r="9" spans="1:4" x14ac:dyDescent="0.35">
      <c r="A9" s="1" t="s">
        <v>10</v>
      </c>
      <c r="B9" s="6">
        <v>40368</v>
      </c>
      <c r="C9" s="6">
        <v>27504</v>
      </c>
      <c r="D9" s="8">
        <f t="shared" si="2"/>
        <v>67872</v>
      </c>
    </row>
    <row r="10" spans="1:4" x14ac:dyDescent="0.35">
      <c r="A10" s="4" t="s">
        <v>11</v>
      </c>
      <c r="B10" s="7">
        <f>B3+B6</f>
        <v>724242</v>
      </c>
      <c r="C10" s="7">
        <f t="shared" ref="C10:D10" si="3">C3+C6</f>
        <v>766500</v>
      </c>
      <c r="D10" s="7">
        <f t="shared" si="3"/>
        <v>1490742</v>
      </c>
    </row>
    <row r="11" spans="1:4" x14ac:dyDescent="0.35">
      <c r="A11" s="10" t="s">
        <v>12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sqref="A1:D1"/>
    </sheetView>
  </sheetViews>
  <sheetFormatPr defaultRowHeight="14.5" x14ac:dyDescent="0.35"/>
  <cols>
    <col min="1" max="1" width="23.36328125" bestFit="1" customWidth="1"/>
    <col min="2" max="3" width="10.6328125" customWidth="1"/>
    <col min="4" max="4" width="10.453125" customWidth="1"/>
  </cols>
  <sheetData>
    <row r="1" spans="1:4" ht="35" customHeight="1" x14ac:dyDescent="0.35">
      <c r="A1" s="11" t="s">
        <v>13</v>
      </c>
      <c r="B1" s="11"/>
      <c r="C1" s="11"/>
      <c r="D1" s="11"/>
    </row>
    <row r="2" spans="1:4" x14ac:dyDescent="0.35">
      <c r="A2" s="2" t="s">
        <v>0</v>
      </c>
      <c r="B2" s="2" t="s">
        <v>1</v>
      </c>
      <c r="C2" s="2" t="s">
        <v>2</v>
      </c>
      <c r="D2" s="2" t="s">
        <v>3</v>
      </c>
    </row>
    <row r="3" spans="1:4" x14ac:dyDescent="0.35">
      <c r="A3" s="3" t="s">
        <v>4</v>
      </c>
      <c r="B3" s="5">
        <f>SUM(B4:B5)</f>
        <v>619163</v>
      </c>
      <c r="C3" s="5">
        <f t="shared" ref="C3" si="0">SUM(C4:C5)</f>
        <v>456664</v>
      </c>
      <c r="D3" s="5">
        <f>SUM(B3:C3)</f>
        <v>1075827</v>
      </c>
    </row>
    <row r="4" spans="1:4" x14ac:dyDescent="0.35">
      <c r="A4" s="1" t="s">
        <v>5</v>
      </c>
      <c r="B4" s="6">
        <v>557795</v>
      </c>
      <c r="C4" s="6">
        <v>436296</v>
      </c>
      <c r="D4" s="6">
        <f>SUM(B4:C4)</f>
        <v>994091</v>
      </c>
    </row>
    <row r="5" spans="1:4" x14ac:dyDescent="0.35">
      <c r="A5" s="1" t="s">
        <v>6</v>
      </c>
      <c r="B5" s="6">
        <v>61368</v>
      </c>
      <c r="C5" s="6">
        <v>20368</v>
      </c>
      <c r="D5" s="6">
        <f>SUM(B5:C5)</f>
        <v>81736</v>
      </c>
    </row>
    <row r="6" spans="1:4" x14ac:dyDescent="0.35">
      <c r="A6" s="3" t="s">
        <v>7</v>
      </c>
      <c r="B6" s="5">
        <f>SUM(B7:B9)</f>
        <v>117643</v>
      </c>
      <c r="C6" s="5">
        <f t="shared" ref="C6" si="1">SUM(C7:C9)</f>
        <v>322727</v>
      </c>
      <c r="D6" s="5">
        <f>SUM(B6:C6)</f>
        <v>440370</v>
      </c>
    </row>
    <row r="7" spans="1:4" x14ac:dyDescent="0.35">
      <c r="A7" s="1" t="s">
        <v>8</v>
      </c>
      <c r="B7" s="6">
        <v>49015</v>
      </c>
      <c r="C7" s="6">
        <v>90663</v>
      </c>
      <c r="D7" s="8">
        <f t="shared" ref="D7:D9" si="2">SUM(B7:C7)</f>
        <v>139678</v>
      </c>
    </row>
    <row r="8" spans="1:4" x14ac:dyDescent="0.35">
      <c r="A8" s="1" t="s">
        <v>9</v>
      </c>
      <c r="B8" s="6">
        <v>38374</v>
      </c>
      <c r="C8" s="6">
        <v>203071</v>
      </c>
      <c r="D8" s="8">
        <f t="shared" si="2"/>
        <v>241445</v>
      </c>
    </row>
    <row r="9" spans="1:4" x14ac:dyDescent="0.35">
      <c r="A9" s="1" t="s">
        <v>10</v>
      </c>
      <c r="B9" s="6">
        <v>30254</v>
      </c>
      <c r="C9" s="6">
        <v>28993</v>
      </c>
      <c r="D9" s="8">
        <f t="shared" si="2"/>
        <v>59247</v>
      </c>
    </row>
    <row r="10" spans="1:4" x14ac:dyDescent="0.35">
      <c r="A10" s="4" t="s">
        <v>11</v>
      </c>
      <c r="B10" s="7">
        <f>B3+B6</f>
        <v>736806</v>
      </c>
      <c r="C10" s="7">
        <f t="shared" ref="C10:D10" si="3">C3+C6</f>
        <v>779391</v>
      </c>
      <c r="D10" s="7">
        <f t="shared" si="3"/>
        <v>1516197</v>
      </c>
    </row>
    <row r="11" spans="1:4" x14ac:dyDescent="0.35">
      <c r="A11" s="10" t="s">
        <v>12</v>
      </c>
    </row>
    <row r="13" spans="1:4" x14ac:dyDescent="0.35">
      <c r="C13" s="9"/>
      <c r="D13" s="9"/>
    </row>
    <row r="14" spans="1:4" x14ac:dyDescent="0.35">
      <c r="C14" s="9"/>
    </row>
  </sheetData>
  <mergeCells count="1">
    <mergeCell ref="A1:D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sqref="A1:D1"/>
    </sheetView>
  </sheetViews>
  <sheetFormatPr defaultRowHeight="14.5" x14ac:dyDescent="0.35"/>
  <cols>
    <col min="1" max="1" width="23.36328125" bestFit="1" customWidth="1"/>
    <col min="2" max="3" width="10.6328125" customWidth="1"/>
    <col min="4" max="4" width="10.54296875" customWidth="1"/>
  </cols>
  <sheetData>
    <row r="1" spans="1:4" ht="35" customHeight="1" x14ac:dyDescent="0.35">
      <c r="A1" s="11" t="s">
        <v>13</v>
      </c>
      <c r="B1" s="11"/>
      <c r="C1" s="11"/>
      <c r="D1" s="11"/>
    </row>
    <row r="2" spans="1:4" x14ac:dyDescent="0.35">
      <c r="A2" s="2" t="s">
        <v>0</v>
      </c>
      <c r="B2" s="2" t="s">
        <v>1</v>
      </c>
      <c r="C2" s="2" t="s">
        <v>2</v>
      </c>
      <c r="D2" s="2" t="s">
        <v>3</v>
      </c>
    </row>
    <row r="3" spans="1:4" x14ac:dyDescent="0.35">
      <c r="A3" s="3" t="s">
        <v>4</v>
      </c>
      <c r="B3" s="5">
        <f>SUM(B4:B5)</f>
        <v>515096</v>
      </c>
      <c r="C3" s="5">
        <f t="shared" ref="C3" si="0">SUM(C4:C5)</f>
        <v>413918</v>
      </c>
      <c r="D3" s="5">
        <f>SUM(B3:C3)</f>
        <v>929014</v>
      </c>
    </row>
    <row r="4" spans="1:4" x14ac:dyDescent="0.35">
      <c r="A4" s="1" t="s">
        <v>5</v>
      </c>
      <c r="B4" s="6">
        <v>489790</v>
      </c>
      <c r="C4" s="6">
        <v>383568</v>
      </c>
      <c r="D4" s="6">
        <f>SUM(B4:C4)</f>
        <v>873358</v>
      </c>
    </row>
    <row r="5" spans="1:4" x14ac:dyDescent="0.35">
      <c r="A5" s="1" t="s">
        <v>6</v>
      </c>
      <c r="B5" s="6">
        <v>25306</v>
      </c>
      <c r="C5" s="6">
        <v>30350</v>
      </c>
      <c r="D5" s="6">
        <f>SUM(B5:C5)</f>
        <v>55656</v>
      </c>
    </row>
    <row r="6" spans="1:4" x14ac:dyDescent="0.35">
      <c r="A6" s="3" t="s">
        <v>7</v>
      </c>
      <c r="B6" s="5">
        <f>SUM(B7:B9)</f>
        <v>140582</v>
      </c>
      <c r="C6" s="5">
        <f t="shared" ref="C6" si="1">SUM(C7:C9)</f>
        <v>268619</v>
      </c>
      <c r="D6" s="5">
        <f>SUM(B6:C6)</f>
        <v>409201</v>
      </c>
    </row>
    <row r="7" spans="1:4" x14ac:dyDescent="0.35">
      <c r="A7" s="1" t="s">
        <v>8</v>
      </c>
      <c r="B7" s="6">
        <v>62178</v>
      </c>
      <c r="C7" s="6">
        <v>60873</v>
      </c>
      <c r="D7" s="8">
        <f t="shared" ref="D7:D9" si="2">SUM(B7:C7)</f>
        <v>123051</v>
      </c>
    </row>
    <row r="8" spans="1:4" x14ac:dyDescent="0.35">
      <c r="A8" s="1" t="s">
        <v>9</v>
      </c>
      <c r="B8" s="6">
        <v>32107</v>
      </c>
      <c r="C8" s="6">
        <v>189086</v>
      </c>
      <c r="D8" s="8">
        <f t="shared" si="2"/>
        <v>221193</v>
      </c>
    </row>
    <row r="9" spans="1:4" x14ac:dyDescent="0.35">
      <c r="A9" s="1" t="s">
        <v>10</v>
      </c>
      <c r="B9" s="6">
        <v>46297</v>
      </c>
      <c r="C9" s="6">
        <v>18660</v>
      </c>
      <c r="D9" s="8">
        <f t="shared" si="2"/>
        <v>64957</v>
      </c>
    </row>
    <row r="10" spans="1:4" x14ac:dyDescent="0.35">
      <c r="A10" s="4" t="s">
        <v>11</v>
      </c>
      <c r="B10" s="7">
        <f>B3+B6</f>
        <v>655678</v>
      </c>
      <c r="C10" s="7">
        <f t="shared" ref="C10:D10" si="3">C3+C6</f>
        <v>682537</v>
      </c>
      <c r="D10" s="7">
        <f t="shared" si="3"/>
        <v>1338215</v>
      </c>
    </row>
    <row r="11" spans="1:4" x14ac:dyDescent="0.35">
      <c r="A11" s="10" t="s">
        <v>12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C16" sqref="C16"/>
    </sheetView>
  </sheetViews>
  <sheetFormatPr defaultRowHeight="14.5" x14ac:dyDescent="0.35"/>
  <cols>
    <col min="1" max="1" width="23.36328125" bestFit="1" customWidth="1"/>
    <col min="2" max="2" width="10.6328125" customWidth="1"/>
    <col min="3" max="4" width="10.54296875" customWidth="1"/>
  </cols>
  <sheetData>
    <row r="1" spans="1:4" ht="35" customHeight="1" x14ac:dyDescent="0.35">
      <c r="A1" s="11" t="s">
        <v>13</v>
      </c>
      <c r="B1" s="11"/>
      <c r="C1" s="11"/>
      <c r="D1" s="11"/>
    </row>
    <row r="2" spans="1:4" x14ac:dyDescent="0.35">
      <c r="A2" s="2" t="s">
        <v>0</v>
      </c>
      <c r="B2" s="2" t="s">
        <v>1</v>
      </c>
      <c r="C2" s="2" t="s">
        <v>2</v>
      </c>
      <c r="D2" s="2" t="s">
        <v>3</v>
      </c>
    </row>
    <row r="3" spans="1:4" x14ac:dyDescent="0.35">
      <c r="A3" s="3" t="s">
        <v>4</v>
      </c>
      <c r="B3" s="5">
        <f>SUM(B4:B5)</f>
        <v>530395</v>
      </c>
      <c r="C3" s="5">
        <f t="shared" ref="C3" si="0">SUM(C4:C5)</f>
        <v>416223</v>
      </c>
      <c r="D3" s="5">
        <f>SUM(B3:C3)</f>
        <v>946618</v>
      </c>
    </row>
    <row r="4" spans="1:4" x14ac:dyDescent="0.35">
      <c r="A4" s="1" t="s">
        <v>5</v>
      </c>
      <c r="B4" s="6">
        <v>511399</v>
      </c>
      <c r="C4" s="6">
        <v>380098</v>
      </c>
      <c r="D4" s="6">
        <f>SUM(B4:C4)</f>
        <v>891497</v>
      </c>
    </row>
    <row r="5" spans="1:4" x14ac:dyDescent="0.35">
      <c r="A5" s="1" t="s">
        <v>6</v>
      </c>
      <c r="B5" s="6">
        <v>18996</v>
      </c>
      <c r="C5" s="6">
        <v>36125</v>
      </c>
      <c r="D5" s="6">
        <f>SUM(B5:C5)</f>
        <v>55121</v>
      </c>
    </row>
    <row r="6" spans="1:4" x14ac:dyDescent="0.35">
      <c r="A6" s="3" t="s">
        <v>7</v>
      </c>
      <c r="B6" s="5">
        <f>SUM(B7:B9)</f>
        <v>133237</v>
      </c>
      <c r="C6" s="5">
        <f t="shared" ref="C6" si="1">SUM(C7:C9)</f>
        <v>274738</v>
      </c>
      <c r="D6" s="5">
        <f>SUM(B6:C6)</f>
        <v>407975</v>
      </c>
    </row>
    <row r="7" spans="1:4" x14ac:dyDescent="0.35">
      <c r="A7" s="1" t="s">
        <v>8</v>
      </c>
      <c r="B7" s="6">
        <v>68496</v>
      </c>
      <c r="C7" s="6">
        <v>66550</v>
      </c>
      <c r="D7" s="8">
        <f t="shared" ref="D7:D9" si="2">SUM(B7:C7)</f>
        <v>135046</v>
      </c>
    </row>
    <row r="8" spans="1:4" x14ac:dyDescent="0.35">
      <c r="A8" s="1" t="s">
        <v>9</v>
      </c>
      <c r="B8" s="6">
        <v>25614</v>
      </c>
      <c r="C8" s="6">
        <v>188212</v>
      </c>
      <c r="D8" s="8">
        <f t="shared" si="2"/>
        <v>213826</v>
      </c>
    </row>
    <row r="9" spans="1:4" x14ac:dyDescent="0.35">
      <c r="A9" s="1" t="s">
        <v>10</v>
      </c>
      <c r="B9" s="6">
        <v>39127</v>
      </c>
      <c r="C9" s="6">
        <v>19976</v>
      </c>
      <c r="D9" s="8">
        <f t="shared" si="2"/>
        <v>59103</v>
      </c>
    </row>
    <row r="10" spans="1:4" x14ac:dyDescent="0.35">
      <c r="A10" s="4" t="s">
        <v>11</v>
      </c>
      <c r="B10" s="7">
        <f>B3+B6</f>
        <v>663632</v>
      </c>
      <c r="C10" s="7">
        <f t="shared" ref="C10:D10" si="3">C3+C6</f>
        <v>690961</v>
      </c>
      <c r="D10" s="7">
        <f t="shared" si="3"/>
        <v>1354593</v>
      </c>
    </row>
    <row r="11" spans="1:4" x14ac:dyDescent="0.35">
      <c r="A11" s="10" t="s">
        <v>12</v>
      </c>
    </row>
  </sheetData>
  <mergeCells count="1">
    <mergeCell ref="A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 ardiansyah</dc:creator>
  <cp:lastModifiedBy>bayu ardiansyah</cp:lastModifiedBy>
  <dcterms:created xsi:type="dcterms:W3CDTF">2025-04-14T02:16:03Z</dcterms:created>
  <dcterms:modified xsi:type="dcterms:W3CDTF">2025-04-14T06:49:05Z</dcterms:modified>
</cp:coreProperties>
</file>