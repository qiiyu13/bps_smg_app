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4"/>
    <sheet state="visible" name="2021" sheetId="2" r:id="rId5"/>
    <sheet state="visible" name="2022" sheetId="3" r:id="rId6"/>
    <sheet state="visible" name="2023" sheetId="4" r:id="rId7"/>
    <sheet state="visible" name="2024" sheetId="5" r:id="rId8"/>
  </sheets>
  <definedNames/>
  <calcPr/>
  <extLst>
    <ext uri="GoogleSheetsCustomDataVersion2">
      <go:sheetsCustomData xmlns:go="http://customooxmlschemas.google.com/" r:id="rId9" roundtripDataChecksum="6lySD3XYX6ZNZy1sHIUTv+NwFEoJ3Ob9QnKmEkXBcCA="/>
    </ext>
  </extLst>
</workbook>
</file>

<file path=xl/sharedStrings.xml><?xml version="1.0" encoding="utf-8"?>
<sst xmlns="http://schemas.openxmlformats.org/spreadsheetml/2006/main" count="130" uniqueCount="26">
  <si>
    <t>Penduduk Kota Semarang Menurut Kecamatan
(Hasil Proyeksi Penduduk)</t>
  </si>
  <si>
    <t>Luas Wilayah</t>
  </si>
  <si>
    <t xml:space="preserve">Kepadatan </t>
  </si>
  <si>
    <t>No</t>
  </si>
  <si>
    <t>Kecamatan</t>
  </si>
  <si>
    <t>Laki Laki</t>
  </si>
  <si>
    <t>Perempuan</t>
  </si>
  <si>
    <t>Laki Laki +Perempuan</t>
  </si>
  <si>
    <t>Mijen</t>
  </si>
  <si>
    <t>Gunungpati</t>
  </si>
  <si>
    <t>Banyumanik</t>
  </si>
  <si>
    <t>Gajah Mungkur</t>
  </si>
  <si>
    <t>Semarang Selatan</t>
  </si>
  <si>
    <t>Candisari</t>
  </si>
  <si>
    <t>Tembalang</t>
  </si>
  <si>
    <t>Pedurungan</t>
  </si>
  <si>
    <t>Genuk</t>
  </si>
  <si>
    <t>Gayamsari</t>
  </si>
  <si>
    <t>Semarang Timur</t>
  </si>
  <si>
    <t>Semarang Utara</t>
  </si>
  <si>
    <t>Semarang Tengah</t>
  </si>
  <si>
    <t>Semarang Barat</t>
  </si>
  <si>
    <t>Tugu</t>
  </si>
  <si>
    <t>Ngaliyan</t>
  </si>
  <si>
    <t>Kota Semarang</t>
  </si>
  <si>
    <t>Sumber: BPS, Sensus Penduduk dan Proyeksi Penduduk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</si>
</sst>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8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readingOrder="0" vertical="center"/>
    </xf>
    <xf borderId="6" fillId="0" fontId="2" numFmtId="0" xfId="0" applyBorder="1" applyFont="1"/>
    <xf borderId="5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left" vertical="center"/>
    </xf>
    <xf borderId="5" fillId="2" fontId="3" numFmtId="3" xfId="0" applyAlignment="1" applyBorder="1" applyFont="1" applyNumberFormat="1">
      <alignment horizontal="right" vertical="center"/>
    </xf>
    <xf borderId="5" fillId="2" fontId="3" numFmtId="3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5" fillId="2" fontId="1" numFmtId="3" xfId="0" applyAlignment="1" applyBorder="1" applyFont="1" applyNumberFormat="1">
      <alignment horizontal="right" vertical="center"/>
    </xf>
    <xf borderId="5" fillId="2" fontId="1" numFmtId="3" xfId="0" applyAlignment="1" applyBorder="1" applyFont="1" applyNumberFormat="1">
      <alignment horizontal="center" vertical="center"/>
    </xf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5.71"/>
    <col customWidth="1" min="3" max="3" width="10.57"/>
    <col customWidth="1" min="4" max="4" width="11.43"/>
    <col customWidth="1" min="5" max="5" width="20.57"/>
    <col customWidth="1" min="6" max="6" width="10.29"/>
    <col customWidth="1" min="7" max="7" width="15.57"/>
    <col customWidth="1" min="8" max="8" width="19.43"/>
    <col customWidth="1" min="9" max="26" width="8.71"/>
  </cols>
  <sheetData>
    <row r="1" ht="31.5" customHeight="1">
      <c r="A1" s="1" t="s">
        <v>0</v>
      </c>
      <c r="B1" s="2"/>
      <c r="C1" s="2"/>
      <c r="D1" s="2"/>
      <c r="E1" s="3"/>
      <c r="F1" s="4" t="s">
        <v>1</v>
      </c>
      <c r="G1" s="5" t="s">
        <v>2</v>
      </c>
    </row>
    <row r="2" ht="14.25" customHeight="1">
      <c r="A2" s="6" t="s">
        <v>3</v>
      </c>
      <c r="B2" s="6" t="s">
        <v>4</v>
      </c>
      <c r="C2" s="7" t="s">
        <v>5</v>
      </c>
      <c r="D2" s="7" t="s">
        <v>6</v>
      </c>
      <c r="E2" s="7" t="s">
        <v>7</v>
      </c>
      <c r="F2" s="8"/>
      <c r="G2" s="8"/>
    </row>
    <row r="3" ht="14.25" customHeight="1">
      <c r="A3" s="9">
        <v>1.0</v>
      </c>
      <c r="B3" s="10" t="s">
        <v>8</v>
      </c>
      <c r="C3" s="11">
        <v>40520.0</v>
      </c>
      <c r="D3" s="11">
        <v>40386.0</v>
      </c>
      <c r="E3" s="11">
        <f t="shared" ref="E3:E18" si="1">C3+D3</f>
        <v>80906</v>
      </c>
      <c r="F3" s="12">
        <v>57.55</v>
      </c>
      <c r="G3" s="12">
        <f t="shared" ref="G3:G19" si="2">E3/F3</f>
        <v>1405.838401</v>
      </c>
    </row>
    <row r="4" ht="14.25" customHeight="1">
      <c r="A4" s="9">
        <v>2.0</v>
      </c>
      <c r="B4" s="10" t="s">
        <v>9</v>
      </c>
      <c r="C4" s="11">
        <v>49023.0</v>
      </c>
      <c r="D4" s="11">
        <v>49000.0</v>
      </c>
      <c r="E4" s="11">
        <f t="shared" si="1"/>
        <v>98023</v>
      </c>
      <c r="F4" s="12">
        <v>54.11</v>
      </c>
      <c r="G4" s="12">
        <f t="shared" si="2"/>
        <v>1811.550545</v>
      </c>
    </row>
    <row r="5" ht="14.25" customHeight="1">
      <c r="A5" s="9">
        <v>3.0</v>
      </c>
      <c r="B5" s="10" t="s">
        <v>10</v>
      </c>
      <c r="C5" s="11">
        <v>70074.0</v>
      </c>
      <c r="D5" s="11">
        <v>72002.0</v>
      </c>
      <c r="E5" s="11">
        <f t="shared" si="1"/>
        <v>142076</v>
      </c>
      <c r="F5" s="12">
        <v>25.69</v>
      </c>
      <c r="G5" s="12">
        <f t="shared" si="2"/>
        <v>5530.400934</v>
      </c>
    </row>
    <row r="6" ht="14.25" customHeight="1">
      <c r="A6" s="9">
        <v>4.0</v>
      </c>
      <c r="B6" s="10" t="s">
        <v>11</v>
      </c>
      <c r="C6" s="11">
        <v>27592.0</v>
      </c>
      <c r="D6" s="11">
        <v>28640.0</v>
      </c>
      <c r="E6" s="11">
        <f t="shared" si="1"/>
        <v>56232</v>
      </c>
      <c r="F6" s="12">
        <v>9.07</v>
      </c>
      <c r="G6" s="12">
        <f t="shared" si="2"/>
        <v>6199.779493</v>
      </c>
    </row>
    <row r="7" ht="14.25" customHeight="1">
      <c r="A7" s="9">
        <v>5.0</v>
      </c>
      <c r="B7" s="10" t="s">
        <v>12</v>
      </c>
      <c r="C7" s="11">
        <v>30168.0</v>
      </c>
      <c r="D7" s="11">
        <v>31862.0</v>
      </c>
      <c r="E7" s="11">
        <f t="shared" si="1"/>
        <v>62030</v>
      </c>
      <c r="F7" s="12">
        <v>5.93</v>
      </c>
      <c r="G7" s="12">
        <f t="shared" si="2"/>
        <v>10460.37099</v>
      </c>
    </row>
    <row r="8" ht="14.25" customHeight="1">
      <c r="A8" s="9">
        <v>6.0</v>
      </c>
      <c r="B8" s="10" t="s">
        <v>13</v>
      </c>
      <c r="C8" s="11">
        <v>37232.0</v>
      </c>
      <c r="D8" s="11">
        <v>38224.0</v>
      </c>
      <c r="E8" s="11">
        <f t="shared" si="1"/>
        <v>75456</v>
      </c>
      <c r="F8" s="12">
        <v>6.54</v>
      </c>
      <c r="G8" s="12">
        <f t="shared" si="2"/>
        <v>11537.61468</v>
      </c>
    </row>
    <row r="9" ht="14.25" customHeight="1">
      <c r="A9" s="9">
        <v>7.0</v>
      </c>
      <c r="B9" s="10" t="s">
        <v>14</v>
      </c>
      <c r="C9" s="11">
        <v>94453.0</v>
      </c>
      <c r="D9" s="11">
        <v>95227.0</v>
      </c>
      <c r="E9" s="11">
        <f t="shared" si="1"/>
        <v>189680</v>
      </c>
      <c r="F9" s="12">
        <v>44.2</v>
      </c>
      <c r="G9" s="12">
        <f t="shared" si="2"/>
        <v>4291.402715</v>
      </c>
    </row>
    <row r="10" ht="14.25" customHeight="1">
      <c r="A10" s="9">
        <v>8.0</v>
      </c>
      <c r="B10" s="10" t="s">
        <v>15</v>
      </c>
      <c r="C10" s="11">
        <v>95791.0</v>
      </c>
      <c r="D10" s="11">
        <v>97360.0</v>
      </c>
      <c r="E10" s="11">
        <f t="shared" si="1"/>
        <v>193151</v>
      </c>
      <c r="F10" s="12">
        <v>20.72</v>
      </c>
      <c r="G10" s="12">
        <f t="shared" si="2"/>
        <v>9321.959459</v>
      </c>
    </row>
    <row r="11" ht="14.25" customHeight="1">
      <c r="A11" s="9">
        <v>9.0</v>
      </c>
      <c r="B11" s="10" t="s">
        <v>16</v>
      </c>
      <c r="C11" s="11">
        <v>61884.0</v>
      </c>
      <c r="D11" s="11">
        <v>61426.0</v>
      </c>
      <c r="E11" s="11">
        <f t="shared" si="1"/>
        <v>123310</v>
      </c>
      <c r="F11" s="12">
        <v>27.39</v>
      </c>
      <c r="G11" s="12">
        <f t="shared" si="2"/>
        <v>4502.008032</v>
      </c>
    </row>
    <row r="12" ht="14.25" customHeight="1">
      <c r="A12" s="9">
        <v>10.0</v>
      </c>
      <c r="B12" s="10" t="s">
        <v>17</v>
      </c>
      <c r="C12" s="11">
        <v>34912.0</v>
      </c>
      <c r="D12" s="11">
        <v>35349.0</v>
      </c>
      <c r="E12" s="11">
        <f t="shared" si="1"/>
        <v>70261</v>
      </c>
      <c r="F12" s="12">
        <v>6.18</v>
      </c>
      <c r="G12" s="12">
        <f t="shared" si="2"/>
        <v>11369.09385</v>
      </c>
    </row>
    <row r="13" ht="14.25" customHeight="1">
      <c r="A13" s="9">
        <v>11.0</v>
      </c>
      <c r="B13" s="10" t="s">
        <v>18</v>
      </c>
      <c r="C13" s="11">
        <v>32181.0</v>
      </c>
      <c r="D13" s="11">
        <v>34121.0</v>
      </c>
      <c r="E13" s="11">
        <f t="shared" si="1"/>
        <v>66302</v>
      </c>
      <c r="F13" s="12">
        <v>7.7</v>
      </c>
      <c r="G13" s="12">
        <f t="shared" si="2"/>
        <v>8610.649351</v>
      </c>
    </row>
    <row r="14" ht="14.25" customHeight="1">
      <c r="A14" s="9">
        <v>12.0</v>
      </c>
      <c r="B14" s="10" t="s">
        <v>19</v>
      </c>
      <c r="C14" s="11">
        <v>58051.0</v>
      </c>
      <c r="D14" s="11">
        <v>59554.0</v>
      </c>
      <c r="E14" s="11">
        <f t="shared" si="1"/>
        <v>117605</v>
      </c>
      <c r="F14" s="12">
        <v>10.97</v>
      </c>
      <c r="G14" s="12">
        <f t="shared" si="2"/>
        <v>10720.60164</v>
      </c>
    </row>
    <row r="15" ht="14.25" customHeight="1">
      <c r="A15" s="9">
        <v>13.0</v>
      </c>
      <c r="B15" s="10" t="s">
        <v>20</v>
      </c>
      <c r="C15" s="11">
        <v>26373.0</v>
      </c>
      <c r="D15" s="11">
        <v>28691.0</v>
      </c>
      <c r="E15" s="11">
        <f t="shared" si="1"/>
        <v>55064</v>
      </c>
      <c r="F15" s="12">
        <v>6.14</v>
      </c>
      <c r="G15" s="12">
        <f t="shared" si="2"/>
        <v>8968.078176</v>
      </c>
    </row>
    <row r="16" ht="14.25" customHeight="1">
      <c r="A16" s="9">
        <v>14.0</v>
      </c>
      <c r="B16" s="10" t="s">
        <v>21</v>
      </c>
      <c r="C16" s="11">
        <v>73130.0</v>
      </c>
      <c r="D16" s="11">
        <v>75749.0</v>
      </c>
      <c r="E16" s="11">
        <f t="shared" si="1"/>
        <v>148879</v>
      </c>
      <c r="F16" s="12">
        <v>21.74</v>
      </c>
      <c r="G16" s="12">
        <f t="shared" si="2"/>
        <v>6848.160074</v>
      </c>
    </row>
    <row r="17" ht="14.25" customHeight="1">
      <c r="A17" s="9">
        <v>15.0</v>
      </c>
      <c r="B17" s="10" t="s">
        <v>22</v>
      </c>
      <c r="C17" s="11">
        <v>16457.0</v>
      </c>
      <c r="D17" s="11">
        <v>16365.0</v>
      </c>
      <c r="E17" s="11">
        <f t="shared" si="1"/>
        <v>32822</v>
      </c>
      <c r="F17" s="12">
        <v>31.78</v>
      </c>
      <c r="G17" s="12">
        <f t="shared" si="2"/>
        <v>1032.787917</v>
      </c>
    </row>
    <row r="18" ht="14.25" customHeight="1">
      <c r="A18" s="9">
        <v>16.0</v>
      </c>
      <c r="B18" s="10" t="s">
        <v>23</v>
      </c>
      <c r="C18" s="11">
        <v>70600.0</v>
      </c>
      <c r="D18" s="11">
        <v>71127.0</v>
      </c>
      <c r="E18" s="11">
        <f t="shared" si="1"/>
        <v>141727</v>
      </c>
      <c r="F18" s="12">
        <v>37.99</v>
      </c>
      <c r="G18" s="12">
        <f t="shared" si="2"/>
        <v>3730.639642</v>
      </c>
    </row>
    <row r="19" ht="14.25" customHeight="1">
      <c r="A19" s="13" t="s">
        <v>24</v>
      </c>
      <c r="B19" s="3"/>
      <c r="C19" s="14">
        <f t="shared" ref="C19:E19" si="3">SUM(C3:C18)</f>
        <v>818441</v>
      </c>
      <c r="D19" s="14">
        <f t="shared" si="3"/>
        <v>835083</v>
      </c>
      <c r="E19" s="14">
        <f t="shared" si="3"/>
        <v>1653524</v>
      </c>
      <c r="F19" s="15">
        <v>373.7</v>
      </c>
      <c r="G19" s="15">
        <f t="shared" si="2"/>
        <v>4424.73642</v>
      </c>
    </row>
    <row r="20" ht="14.25" customHeight="1">
      <c r="A20" s="16" t="s">
        <v>25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E1"/>
    <mergeCell ref="F1:F2"/>
    <mergeCell ref="G1:G2"/>
    <mergeCell ref="A19:B19"/>
  </mergeCells>
  <conditionalFormatting sqref="E3:E18">
    <cfRule type="notContainsBlanks" dxfId="0" priority="1">
      <formula>LEN(TRIM(E3))&gt;0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5.71"/>
    <col customWidth="1" min="3" max="3" width="10.57"/>
    <col customWidth="1" min="4" max="4" width="11.14"/>
    <col customWidth="1" min="5" max="5" width="21.14"/>
    <col customWidth="1" min="6" max="6" width="8.71"/>
    <col customWidth="1" min="7" max="7" width="13.29"/>
    <col customWidth="1" min="8" max="26" width="8.71"/>
  </cols>
  <sheetData>
    <row r="1" ht="31.5" customHeight="1">
      <c r="A1" s="1" t="s">
        <v>0</v>
      </c>
      <c r="B1" s="2"/>
      <c r="C1" s="2"/>
      <c r="D1" s="2"/>
      <c r="E1" s="3"/>
      <c r="F1" s="4" t="s">
        <v>1</v>
      </c>
      <c r="G1" s="5" t="s">
        <v>2</v>
      </c>
    </row>
    <row r="2" ht="14.25" customHeight="1">
      <c r="A2" s="6" t="s">
        <v>3</v>
      </c>
      <c r="B2" s="6" t="s">
        <v>4</v>
      </c>
      <c r="C2" s="7" t="s">
        <v>5</v>
      </c>
      <c r="D2" s="7" t="s">
        <v>6</v>
      </c>
      <c r="E2" s="7" t="s">
        <v>7</v>
      </c>
      <c r="F2" s="8"/>
      <c r="G2" s="8"/>
    </row>
    <row r="3" ht="14.25" customHeight="1">
      <c r="A3" s="9">
        <v>1.0</v>
      </c>
      <c r="B3" s="10" t="s">
        <v>8</v>
      </c>
      <c r="C3" s="11">
        <v>41695.0</v>
      </c>
      <c r="D3" s="11">
        <v>41626.0</v>
      </c>
      <c r="E3" s="11">
        <f t="shared" ref="E3:E18" si="1">C3+D3</f>
        <v>83321</v>
      </c>
      <c r="F3" s="12">
        <v>57.55</v>
      </c>
      <c r="G3" s="12">
        <f t="shared" ref="G3:G19" si="2">E3/F3</f>
        <v>1447.801911</v>
      </c>
    </row>
    <row r="4" ht="14.25" customHeight="1">
      <c r="A4" s="9">
        <v>2.0</v>
      </c>
      <c r="B4" s="10" t="s">
        <v>9</v>
      </c>
      <c r="C4" s="11">
        <v>49179.0</v>
      </c>
      <c r="D4" s="11">
        <v>49164.0</v>
      </c>
      <c r="E4" s="11">
        <f t="shared" si="1"/>
        <v>98343</v>
      </c>
      <c r="F4" s="12">
        <v>54.11</v>
      </c>
      <c r="G4" s="12">
        <f t="shared" si="2"/>
        <v>1817.464424</v>
      </c>
    </row>
    <row r="5" ht="14.25" customHeight="1">
      <c r="A5" s="9">
        <v>3.0</v>
      </c>
      <c r="B5" s="10" t="s">
        <v>10</v>
      </c>
      <c r="C5" s="11">
        <v>69891.0</v>
      </c>
      <c r="D5" s="11">
        <v>71798.0</v>
      </c>
      <c r="E5" s="11">
        <f t="shared" si="1"/>
        <v>141689</v>
      </c>
      <c r="F5" s="12">
        <v>25.69</v>
      </c>
      <c r="G5" s="12">
        <f t="shared" si="2"/>
        <v>5515.336707</v>
      </c>
    </row>
    <row r="6" ht="14.25" customHeight="1">
      <c r="A6" s="9">
        <v>4.0</v>
      </c>
      <c r="B6" s="10" t="s">
        <v>11</v>
      </c>
      <c r="C6" s="11">
        <v>27396.0</v>
      </c>
      <c r="D6" s="11">
        <v>28461.0</v>
      </c>
      <c r="E6" s="11">
        <f t="shared" si="1"/>
        <v>55857</v>
      </c>
      <c r="F6" s="12">
        <v>9.07</v>
      </c>
      <c r="G6" s="12">
        <f t="shared" si="2"/>
        <v>6158.434399</v>
      </c>
    </row>
    <row r="7" ht="14.25" customHeight="1">
      <c r="A7" s="9">
        <v>5.0</v>
      </c>
      <c r="B7" s="10" t="s">
        <v>12</v>
      </c>
      <c r="C7" s="11">
        <v>29954.0</v>
      </c>
      <c r="D7" s="11">
        <v>31662.0</v>
      </c>
      <c r="E7" s="11">
        <f t="shared" si="1"/>
        <v>61616</v>
      </c>
      <c r="F7" s="12">
        <v>5.93</v>
      </c>
      <c r="G7" s="12">
        <f t="shared" si="2"/>
        <v>10390.55649</v>
      </c>
    </row>
    <row r="8" ht="14.25" customHeight="1">
      <c r="A8" s="9">
        <v>6.0</v>
      </c>
      <c r="B8" s="10" t="s">
        <v>13</v>
      </c>
      <c r="C8" s="11">
        <v>36967.0</v>
      </c>
      <c r="D8" s="11">
        <v>37985.0</v>
      </c>
      <c r="E8" s="11">
        <f t="shared" si="1"/>
        <v>74952</v>
      </c>
      <c r="F8" s="12">
        <v>6.54</v>
      </c>
      <c r="G8" s="12">
        <f t="shared" si="2"/>
        <v>11460.55046</v>
      </c>
    </row>
    <row r="9" ht="14.25" customHeight="1">
      <c r="A9" s="9">
        <v>7.0</v>
      </c>
      <c r="B9" s="10" t="s">
        <v>14</v>
      </c>
      <c r="C9" s="11">
        <v>95369.0</v>
      </c>
      <c r="D9" s="11">
        <v>96191.0</v>
      </c>
      <c r="E9" s="11">
        <f t="shared" si="1"/>
        <v>191560</v>
      </c>
      <c r="F9" s="12">
        <v>44.2</v>
      </c>
      <c r="G9" s="12">
        <f t="shared" si="2"/>
        <v>4333.936652</v>
      </c>
    </row>
    <row r="10" ht="14.25" customHeight="1">
      <c r="A10" s="9">
        <v>8.0</v>
      </c>
      <c r="B10" s="10" t="s">
        <v>15</v>
      </c>
      <c r="C10" s="11">
        <v>95725.0</v>
      </c>
      <c r="D10" s="11">
        <v>97403.0</v>
      </c>
      <c r="E10" s="11">
        <f t="shared" si="1"/>
        <v>193128</v>
      </c>
      <c r="F10" s="12">
        <v>20.72</v>
      </c>
      <c r="G10" s="12">
        <f t="shared" si="2"/>
        <v>9320.849421</v>
      </c>
    </row>
    <row r="11" ht="14.25" customHeight="1">
      <c r="A11" s="9">
        <v>9.0</v>
      </c>
      <c r="B11" s="10" t="s">
        <v>16</v>
      </c>
      <c r="C11" s="11">
        <v>63182.0</v>
      </c>
      <c r="D11" s="11">
        <v>62785.0</v>
      </c>
      <c r="E11" s="11">
        <f t="shared" si="1"/>
        <v>125967</v>
      </c>
      <c r="F11" s="12">
        <v>27.39</v>
      </c>
      <c r="G11" s="12">
        <f t="shared" si="2"/>
        <v>4599.014239</v>
      </c>
    </row>
    <row r="12" ht="14.25" customHeight="1">
      <c r="A12" s="9">
        <v>10.0</v>
      </c>
      <c r="B12" s="10" t="s">
        <v>17</v>
      </c>
      <c r="C12" s="11">
        <v>34664.0</v>
      </c>
      <c r="D12" s="11">
        <v>35128.0</v>
      </c>
      <c r="E12" s="11">
        <f t="shared" si="1"/>
        <v>69792</v>
      </c>
      <c r="F12" s="12">
        <v>6.18</v>
      </c>
      <c r="G12" s="12">
        <f t="shared" si="2"/>
        <v>11293.20388</v>
      </c>
    </row>
    <row r="13" ht="14.25" customHeight="1">
      <c r="A13" s="9">
        <v>11.0</v>
      </c>
      <c r="B13" s="10" t="s">
        <v>18</v>
      </c>
      <c r="C13" s="11">
        <v>31952.0</v>
      </c>
      <c r="D13" s="11">
        <v>33907.0</v>
      </c>
      <c r="E13" s="11">
        <f t="shared" si="1"/>
        <v>65859</v>
      </c>
      <c r="F13" s="12">
        <v>7.7</v>
      </c>
      <c r="G13" s="12">
        <f t="shared" si="2"/>
        <v>8553.116883</v>
      </c>
    </row>
    <row r="14" ht="14.25" customHeight="1">
      <c r="A14" s="9">
        <v>12.0</v>
      </c>
      <c r="B14" s="10" t="s">
        <v>19</v>
      </c>
      <c r="C14" s="11">
        <v>57692.0</v>
      </c>
      <c r="D14" s="11">
        <v>59128.0</v>
      </c>
      <c r="E14" s="11">
        <f t="shared" si="1"/>
        <v>116820</v>
      </c>
      <c r="F14" s="12">
        <v>10.97</v>
      </c>
      <c r="G14" s="12">
        <f t="shared" si="2"/>
        <v>10649.04284</v>
      </c>
    </row>
    <row r="15" ht="14.25" customHeight="1">
      <c r="A15" s="9">
        <v>13.0</v>
      </c>
      <c r="B15" s="10" t="s">
        <v>20</v>
      </c>
      <c r="C15" s="11">
        <v>26186.0</v>
      </c>
      <c r="D15" s="11">
        <v>28510.0</v>
      </c>
      <c r="E15" s="11">
        <f t="shared" si="1"/>
        <v>54696</v>
      </c>
      <c r="F15" s="12">
        <v>6.14</v>
      </c>
      <c r="G15" s="12">
        <f t="shared" si="2"/>
        <v>8908.143322</v>
      </c>
    </row>
    <row r="16" ht="14.25" customHeight="1">
      <c r="A16" s="9">
        <v>14.0</v>
      </c>
      <c r="B16" s="10" t="s">
        <v>21</v>
      </c>
      <c r="C16" s="11">
        <v>72610.0</v>
      </c>
      <c r="D16" s="11">
        <v>75275.0</v>
      </c>
      <c r="E16" s="11">
        <f t="shared" si="1"/>
        <v>147885</v>
      </c>
      <c r="F16" s="12">
        <v>21.74</v>
      </c>
      <c r="G16" s="12">
        <f t="shared" si="2"/>
        <v>6802.437902</v>
      </c>
    </row>
    <row r="17" ht="14.25" customHeight="1">
      <c r="A17" s="9">
        <v>15.0</v>
      </c>
      <c r="B17" s="10" t="s">
        <v>22</v>
      </c>
      <c r="C17" s="11">
        <v>16515.0</v>
      </c>
      <c r="D17" s="11">
        <v>16433.0</v>
      </c>
      <c r="E17" s="11">
        <f t="shared" si="1"/>
        <v>32948</v>
      </c>
      <c r="F17" s="12">
        <v>31.78</v>
      </c>
      <c r="G17" s="12">
        <f t="shared" si="2"/>
        <v>1036.752675</v>
      </c>
    </row>
    <row r="18" ht="14.25" customHeight="1">
      <c r="A18" s="9">
        <v>16.0</v>
      </c>
      <c r="B18" s="10" t="s">
        <v>23</v>
      </c>
      <c r="C18" s="11">
        <v>70808.0</v>
      </c>
      <c r="D18" s="11">
        <v>71323.0</v>
      </c>
      <c r="E18" s="11">
        <f t="shared" si="1"/>
        <v>142131</v>
      </c>
      <c r="F18" s="12">
        <v>37.99</v>
      </c>
      <c r="G18" s="12">
        <f t="shared" si="2"/>
        <v>3741.274019</v>
      </c>
    </row>
    <row r="19" ht="14.25" customHeight="1">
      <c r="A19" s="13" t="s">
        <v>24</v>
      </c>
      <c r="B19" s="3"/>
      <c r="C19" s="14">
        <f t="shared" ref="C19:E19" si="3">SUM(C3:C18)</f>
        <v>819785</v>
      </c>
      <c r="D19" s="14">
        <f t="shared" si="3"/>
        <v>836779</v>
      </c>
      <c r="E19" s="14">
        <f t="shared" si="3"/>
        <v>1656564</v>
      </c>
      <c r="F19" s="15">
        <v>373.7</v>
      </c>
      <c r="G19" s="15">
        <f t="shared" si="2"/>
        <v>4432.871287</v>
      </c>
    </row>
    <row r="20" ht="14.25" customHeight="1">
      <c r="A20" s="16" t="s">
        <v>25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E1"/>
    <mergeCell ref="F1:F2"/>
    <mergeCell ref="G1:G2"/>
    <mergeCell ref="A19:B19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5.71"/>
    <col customWidth="1" min="3" max="3" width="10.57"/>
    <col customWidth="1" min="4" max="4" width="12.14"/>
    <col customWidth="1" min="5" max="5" width="23.14"/>
    <col customWidth="1" min="6" max="6" width="8.71"/>
    <col customWidth="1" min="7" max="7" width="13.29"/>
    <col customWidth="1" min="8" max="26" width="8.71"/>
  </cols>
  <sheetData>
    <row r="1" ht="31.5" customHeight="1">
      <c r="A1" s="1" t="s">
        <v>0</v>
      </c>
      <c r="B1" s="2"/>
      <c r="C1" s="2"/>
      <c r="D1" s="2"/>
      <c r="E1" s="3"/>
      <c r="F1" s="4" t="s">
        <v>1</v>
      </c>
      <c r="G1" s="5" t="s">
        <v>2</v>
      </c>
    </row>
    <row r="2" ht="14.25" customHeight="1">
      <c r="A2" s="6" t="s">
        <v>3</v>
      </c>
      <c r="B2" s="6" t="s">
        <v>4</v>
      </c>
      <c r="C2" s="7" t="s">
        <v>5</v>
      </c>
      <c r="D2" s="7" t="s">
        <v>6</v>
      </c>
      <c r="E2" s="7" t="s">
        <v>7</v>
      </c>
      <c r="F2" s="8"/>
      <c r="G2" s="8"/>
    </row>
    <row r="3" ht="14.25" customHeight="1">
      <c r="A3" s="9">
        <v>1.0</v>
      </c>
      <c r="B3" s="10" t="s">
        <v>8</v>
      </c>
      <c r="C3" s="11">
        <v>42908.0</v>
      </c>
      <c r="D3" s="11">
        <v>42910.0</v>
      </c>
      <c r="E3" s="11">
        <f t="shared" ref="E3:E18" si="1">C3+D3</f>
        <v>85818</v>
      </c>
      <c r="F3" s="12">
        <v>57.55</v>
      </c>
      <c r="G3" s="12">
        <f t="shared" ref="G3:G19" si="2">E3/F3</f>
        <v>1491.190269</v>
      </c>
    </row>
    <row r="4" ht="14.25" customHeight="1">
      <c r="A4" s="9">
        <v>2.0</v>
      </c>
      <c r="B4" s="10" t="s">
        <v>9</v>
      </c>
      <c r="C4" s="11">
        <v>49341.0</v>
      </c>
      <c r="D4" s="11">
        <v>49333.0</v>
      </c>
      <c r="E4" s="11">
        <f t="shared" si="1"/>
        <v>98674</v>
      </c>
      <c r="F4" s="12">
        <v>54.11</v>
      </c>
      <c r="G4" s="12">
        <f t="shared" si="2"/>
        <v>1823.581593</v>
      </c>
    </row>
    <row r="5" ht="14.25" customHeight="1">
      <c r="A5" s="9">
        <v>3.0</v>
      </c>
      <c r="B5" s="10" t="s">
        <v>10</v>
      </c>
      <c r="C5" s="11">
        <v>69717.0</v>
      </c>
      <c r="D5" s="11">
        <v>71602.0</v>
      </c>
      <c r="E5" s="11">
        <f t="shared" si="1"/>
        <v>141319</v>
      </c>
      <c r="F5" s="12">
        <v>25.69</v>
      </c>
      <c r="G5" s="12">
        <f t="shared" si="2"/>
        <v>5500.934216</v>
      </c>
    </row>
    <row r="6" ht="14.25" customHeight="1">
      <c r="A6" s="9">
        <v>4.0</v>
      </c>
      <c r="B6" s="10" t="s">
        <v>11</v>
      </c>
      <c r="C6" s="11">
        <v>27204.0</v>
      </c>
      <c r="D6" s="11">
        <v>28286.0</v>
      </c>
      <c r="E6" s="11">
        <f t="shared" si="1"/>
        <v>55490</v>
      </c>
      <c r="F6" s="12">
        <v>9.07</v>
      </c>
      <c r="G6" s="12">
        <f t="shared" si="2"/>
        <v>6117.971334</v>
      </c>
    </row>
    <row r="7" ht="14.25" customHeight="1">
      <c r="A7" s="9">
        <v>5.0</v>
      </c>
      <c r="B7" s="10" t="s">
        <v>12</v>
      </c>
      <c r="C7" s="11">
        <v>29744.0</v>
      </c>
      <c r="D7" s="11">
        <v>31468.0</v>
      </c>
      <c r="E7" s="11">
        <f t="shared" si="1"/>
        <v>61212</v>
      </c>
      <c r="F7" s="12">
        <v>5.93</v>
      </c>
      <c r="G7" s="12">
        <f t="shared" si="2"/>
        <v>10322.42833</v>
      </c>
    </row>
    <row r="8" ht="14.25" customHeight="1">
      <c r="A8" s="9">
        <v>6.0</v>
      </c>
      <c r="B8" s="10" t="s">
        <v>13</v>
      </c>
      <c r="C8" s="11">
        <v>36709.0</v>
      </c>
      <c r="D8" s="11">
        <v>37752.0</v>
      </c>
      <c r="E8" s="11">
        <f t="shared" si="1"/>
        <v>74461</v>
      </c>
      <c r="F8" s="12">
        <v>6.54</v>
      </c>
      <c r="G8" s="12">
        <f t="shared" si="2"/>
        <v>11385.47401</v>
      </c>
    </row>
    <row r="9" ht="14.25" customHeight="1">
      <c r="A9" s="9">
        <v>7.0</v>
      </c>
      <c r="B9" s="10" t="s">
        <v>14</v>
      </c>
      <c r="C9" s="11">
        <v>96306.0</v>
      </c>
      <c r="D9" s="11">
        <v>97174.0</v>
      </c>
      <c r="E9" s="11">
        <f t="shared" si="1"/>
        <v>193480</v>
      </c>
      <c r="F9" s="12">
        <v>44.2</v>
      </c>
      <c r="G9" s="12">
        <f t="shared" si="2"/>
        <v>4377.375566</v>
      </c>
    </row>
    <row r="10" ht="14.25" customHeight="1">
      <c r="A10" s="9">
        <v>8.0</v>
      </c>
      <c r="B10" s="10" t="s">
        <v>15</v>
      </c>
      <c r="C10" s="11">
        <v>95667.0</v>
      </c>
      <c r="D10" s="11">
        <v>97458.0</v>
      </c>
      <c r="E10" s="11">
        <f t="shared" si="1"/>
        <v>193125</v>
      </c>
      <c r="F10" s="12">
        <v>20.72</v>
      </c>
      <c r="G10" s="12">
        <f t="shared" si="2"/>
        <v>9320.704633</v>
      </c>
    </row>
    <row r="11" ht="14.25" customHeight="1">
      <c r="A11" s="9">
        <v>9.0</v>
      </c>
      <c r="B11" s="10" t="s">
        <v>16</v>
      </c>
      <c r="C11" s="11">
        <v>64514.0</v>
      </c>
      <c r="D11" s="11">
        <v>64182.0</v>
      </c>
      <c r="E11" s="11">
        <f t="shared" si="1"/>
        <v>128696</v>
      </c>
      <c r="F11" s="12">
        <v>27.39</v>
      </c>
      <c r="G11" s="12">
        <f t="shared" si="2"/>
        <v>4698.649142</v>
      </c>
    </row>
    <row r="12" ht="14.25" customHeight="1">
      <c r="A12" s="9">
        <v>10.0</v>
      </c>
      <c r="B12" s="10" t="s">
        <v>17</v>
      </c>
      <c r="C12" s="11">
        <v>34421.0</v>
      </c>
      <c r="D12" s="11">
        <v>34913.0</v>
      </c>
      <c r="E12" s="11">
        <f t="shared" si="1"/>
        <v>69334</v>
      </c>
      <c r="F12" s="12">
        <v>6.18</v>
      </c>
      <c r="G12" s="12">
        <f t="shared" si="2"/>
        <v>11219.09385</v>
      </c>
    </row>
    <row r="13" ht="14.25" customHeight="1">
      <c r="A13" s="9">
        <v>11.0</v>
      </c>
      <c r="B13" s="10" t="s">
        <v>18</v>
      </c>
      <c r="C13" s="11">
        <v>31729.0</v>
      </c>
      <c r="D13" s="11">
        <v>33698.0</v>
      </c>
      <c r="E13" s="11">
        <f t="shared" si="1"/>
        <v>65427</v>
      </c>
      <c r="F13" s="12">
        <v>7.7</v>
      </c>
      <c r="G13" s="12">
        <f t="shared" si="2"/>
        <v>8497.012987</v>
      </c>
    </row>
    <row r="14" ht="14.25" customHeight="1">
      <c r="A14" s="9">
        <v>12.0</v>
      </c>
      <c r="B14" s="10" t="s">
        <v>19</v>
      </c>
      <c r="C14" s="11">
        <v>57341.0</v>
      </c>
      <c r="D14" s="11">
        <v>58713.0</v>
      </c>
      <c r="E14" s="11">
        <f t="shared" si="1"/>
        <v>116054</v>
      </c>
      <c r="F14" s="12">
        <v>10.97</v>
      </c>
      <c r="G14" s="12">
        <f t="shared" si="2"/>
        <v>10579.21604</v>
      </c>
    </row>
    <row r="15" ht="14.25" customHeight="1">
      <c r="A15" s="9">
        <v>13.0</v>
      </c>
      <c r="B15" s="10" t="s">
        <v>20</v>
      </c>
      <c r="C15" s="11">
        <v>26002.0</v>
      </c>
      <c r="D15" s="11">
        <v>28336.0</v>
      </c>
      <c r="E15" s="11">
        <f t="shared" si="1"/>
        <v>54338</v>
      </c>
      <c r="F15" s="12">
        <v>6.14</v>
      </c>
      <c r="G15" s="12">
        <f t="shared" si="2"/>
        <v>8849.837134</v>
      </c>
    </row>
    <row r="16" ht="14.25" customHeight="1">
      <c r="A16" s="9">
        <v>14.0</v>
      </c>
      <c r="B16" s="10" t="s">
        <v>21</v>
      </c>
      <c r="C16" s="11">
        <v>72102.0</v>
      </c>
      <c r="D16" s="11">
        <v>74813.0</v>
      </c>
      <c r="E16" s="11">
        <f t="shared" si="1"/>
        <v>146915</v>
      </c>
      <c r="F16" s="12">
        <v>21.74</v>
      </c>
      <c r="G16" s="12">
        <f t="shared" si="2"/>
        <v>6757.819687</v>
      </c>
    </row>
    <row r="17" ht="14.25" customHeight="1">
      <c r="A17" s="9">
        <v>15.0</v>
      </c>
      <c r="B17" s="10" t="s">
        <v>22</v>
      </c>
      <c r="C17" s="11">
        <v>16575.0</v>
      </c>
      <c r="D17" s="11">
        <v>16504.0</v>
      </c>
      <c r="E17" s="11">
        <f t="shared" si="1"/>
        <v>33079</v>
      </c>
      <c r="F17" s="12">
        <v>31.78</v>
      </c>
      <c r="G17" s="12">
        <f t="shared" si="2"/>
        <v>1040.874764</v>
      </c>
    </row>
    <row r="18" ht="14.25" customHeight="1">
      <c r="A18" s="9">
        <v>16.0</v>
      </c>
      <c r="B18" s="10" t="s">
        <v>23</v>
      </c>
      <c r="C18" s="11">
        <v>71025.0</v>
      </c>
      <c r="D18" s="11">
        <v>71528.0</v>
      </c>
      <c r="E18" s="11">
        <f t="shared" si="1"/>
        <v>142553</v>
      </c>
      <c r="F18" s="12">
        <v>37.99</v>
      </c>
      <c r="G18" s="12">
        <f t="shared" si="2"/>
        <v>3752.382206</v>
      </c>
    </row>
    <row r="19" ht="14.25" customHeight="1">
      <c r="A19" s="13" t="s">
        <v>24</v>
      </c>
      <c r="B19" s="3"/>
      <c r="C19" s="14">
        <f t="shared" ref="C19:E19" si="3">SUM(C3:C18)</f>
        <v>821305</v>
      </c>
      <c r="D19" s="14">
        <f t="shared" si="3"/>
        <v>838670</v>
      </c>
      <c r="E19" s="14">
        <f t="shared" si="3"/>
        <v>1659975</v>
      </c>
      <c r="F19" s="15">
        <v>373.7</v>
      </c>
      <c r="G19" s="15">
        <f t="shared" si="2"/>
        <v>4441.99893</v>
      </c>
    </row>
    <row r="20" ht="14.25" customHeight="1">
      <c r="A20" s="16" t="s">
        <v>25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E1"/>
    <mergeCell ref="F1:F2"/>
    <mergeCell ref="G1:G2"/>
    <mergeCell ref="A19:B1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5.71"/>
    <col customWidth="1" min="3" max="4" width="10.57"/>
    <col customWidth="1" min="5" max="5" width="21.14"/>
    <col customWidth="1" min="6" max="6" width="8.71"/>
    <col customWidth="1" min="7" max="7" width="13.29"/>
    <col customWidth="1" min="8" max="26" width="8.71"/>
  </cols>
  <sheetData>
    <row r="1" ht="31.5" customHeight="1">
      <c r="A1" s="1" t="s">
        <v>0</v>
      </c>
      <c r="B1" s="2"/>
      <c r="C1" s="2"/>
      <c r="D1" s="2"/>
      <c r="E1" s="3"/>
      <c r="F1" s="4" t="s">
        <v>1</v>
      </c>
      <c r="G1" s="5" t="s">
        <v>2</v>
      </c>
    </row>
    <row r="2" ht="14.25" customHeight="1">
      <c r="A2" s="6" t="s">
        <v>3</v>
      </c>
      <c r="B2" s="6" t="s">
        <v>4</v>
      </c>
      <c r="C2" s="7" t="s">
        <v>5</v>
      </c>
      <c r="D2" s="7" t="s">
        <v>6</v>
      </c>
      <c r="E2" s="7" t="s">
        <v>7</v>
      </c>
      <c r="F2" s="8"/>
      <c r="G2" s="8"/>
    </row>
    <row r="3" ht="14.25" customHeight="1">
      <c r="A3" s="9">
        <v>1.0</v>
      </c>
      <c r="B3" s="10" t="s">
        <v>8</v>
      </c>
      <c r="C3" s="11">
        <v>44876.0</v>
      </c>
      <c r="D3" s="11">
        <v>45072.0</v>
      </c>
      <c r="E3" s="11">
        <f t="shared" ref="E3:E18" si="1">C3+D3</f>
        <v>89948</v>
      </c>
      <c r="F3" s="12">
        <v>57.55</v>
      </c>
      <c r="G3" s="12">
        <f t="shared" ref="G3:G19" si="2">E3/F3</f>
        <v>1562.953953</v>
      </c>
    </row>
    <row r="4" ht="14.25" customHeight="1">
      <c r="A4" s="9">
        <v>2.0</v>
      </c>
      <c r="B4" s="10" t="s">
        <v>9</v>
      </c>
      <c r="C4" s="11">
        <v>50310.0</v>
      </c>
      <c r="D4" s="11">
        <v>50442.0</v>
      </c>
      <c r="E4" s="11">
        <f t="shared" si="1"/>
        <v>100752</v>
      </c>
      <c r="F4" s="12">
        <v>54.11</v>
      </c>
      <c r="G4" s="12">
        <f t="shared" si="2"/>
        <v>1861.984846</v>
      </c>
    </row>
    <row r="5" ht="14.25" customHeight="1">
      <c r="A5" s="9">
        <v>3.0</v>
      </c>
      <c r="B5" s="10" t="s">
        <v>10</v>
      </c>
      <c r="C5" s="11">
        <v>70675.0</v>
      </c>
      <c r="D5" s="11">
        <v>72758.0</v>
      </c>
      <c r="E5" s="11">
        <f t="shared" si="1"/>
        <v>143433</v>
      </c>
      <c r="F5" s="12">
        <v>25.69</v>
      </c>
      <c r="G5" s="12">
        <f t="shared" si="2"/>
        <v>5583.223044</v>
      </c>
    </row>
    <row r="6" ht="14.25" customHeight="1">
      <c r="A6" s="9">
        <v>4.0</v>
      </c>
      <c r="B6" s="10" t="s">
        <v>11</v>
      </c>
      <c r="C6" s="11">
        <v>27602.0</v>
      </c>
      <c r="D6" s="11">
        <v>28748.0</v>
      </c>
      <c r="E6" s="11">
        <f t="shared" si="1"/>
        <v>56350</v>
      </c>
      <c r="F6" s="12">
        <v>9.07</v>
      </c>
      <c r="G6" s="12">
        <f t="shared" si="2"/>
        <v>6212.789416</v>
      </c>
    </row>
    <row r="7" ht="14.25" customHeight="1">
      <c r="A7" s="9">
        <v>5.0</v>
      </c>
      <c r="B7" s="10" t="s">
        <v>12</v>
      </c>
      <c r="C7" s="11">
        <v>30215.0</v>
      </c>
      <c r="D7" s="11">
        <v>31964.0</v>
      </c>
      <c r="E7" s="11">
        <f t="shared" si="1"/>
        <v>62179</v>
      </c>
      <c r="F7" s="12">
        <v>5.93</v>
      </c>
      <c r="G7" s="12">
        <f t="shared" si="2"/>
        <v>10485.49747</v>
      </c>
    </row>
    <row r="8" ht="14.25" customHeight="1">
      <c r="A8" s="9">
        <v>6.0</v>
      </c>
      <c r="B8" s="10" t="s">
        <v>13</v>
      </c>
      <c r="C8" s="11">
        <v>37302.0</v>
      </c>
      <c r="D8" s="11">
        <v>38312.0</v>
      </c>
      <c r="E8" s="11">
        <f t="shared" si="1"/>
        <v>75614</v>
      </c>
      <c r="F8" s="12">
        <v>6.54</v>
      </c>
      <c r="G8" s="12">
        <f t="shared" si="2"/>
        <v>11561.7737</v>
      </c>
    </row>
    <row r="9" ht="14.25" customHeight="1">
      <c r="A9" s="9">
        <v>7.0</v>
      </c>
      <c r="B9" s="10" t="s">
        <v>14</v>
      </c>
      <c r="C9" s="11">
        <v>98833.0</v>
      </c>
      <c r="D9" s="11">
        <v>100029.0</v>
      </c>
      <c r="E9" s="11">
        <f t="shared" si="1"/>
        <v>198862</v>
      </c>
      <c r="F9" s="12">
        <v>44.2</v>
      </c>
      <c r="G9" s="12">
        <f t="shared" si="2"/>
        <v>4499.140271</v>
      </c>
    </row>
    <row r="10" ht="14.25" customHeight="1">
      <c r="A10" s="9">
        <v>8.0</v>
      </c>
      <c r="B10" s="10" t="s">
        <v>15</v>
      </c>
      <c r="C10" s="11">
        <v>97167.0</v>
      </c>
      <c r="D10" s="11">
        <v>99359.0</v>
      </c>
      <c r="E10" s="11">
        <f t="shared" si="1"/>
        <v>196526</v>
      </c>
      <c r="F10" s="12">
        <v>20.72</v>
      </c>
      <c r="G10" s="12">
        <f t="shared" si="2"/>
        <v>9484.84556</v>
      </c>
    </row>
    <row r="11" ht="14.25" customHeight="1">
      <c r="A11" s="9">
        <v>9.0</v>
      </c>
      <c r="B11" s="10" t="s">
        <v>16</v>
      </c>
      <c r="C11" s="11">
        <v>66946.0</v>
      </c>
      <c r="D11" s="11">
        <v>65527.0</v>
      </c>
      <c r="E11" s="11">
        <f t="shared" si="1"/>
        <v>132473</v>
      </c>
      <c r="F11" s="12">
        <v>27.39</v>
      </c>
      <c r="G11" s="12">
        <f t="shared" si="2"/>
        <v>4836.546185</v>
      </c>
    </row>
    <row r="12" ht="14.25" customHeight="1">
      <c r="A12" s="9">
        <v>10.0</v>
      </c>
      <c r="B12" s="10" t="s">
        <v>17</v>
      </c>
      <c r="C12" s="11">
        <v>34998.0</v>
      </c>
      <c r="D12" s="11">
        <v>35411.0</v>
      </c>
      <c r="E12" s="11">
        <f t="shared" si="1"/>
        <v>70409</v>
      </c>
      <c r="F12" s="12">
        <v>6.18</v>
      </c>
      <c r="G12" s="12">
        <f t="shared" si="2"/>
        <v>11393.04207</v>
      </c>
    </row>
    <row r="13" ht="14.25" customHeight="1">
      <c r="A13" s="9">
        <v>11.0</v>
      </c>
      <c r="B13" s="10" t="s">
        <v>18</v>
      </c>
      <c r="C13" s="11">
        <v>32261.0</v>
      </c>
      <c r="D13" s="11">
        <v>34220.0</v>
      </c>
      <c r="E13" s="11">
        <f t="shared" si="1"/>
        <v>66481</v>
      </c>
      <c r="F13" s="12">
        <v>7.7</v>
      </c>
      <c r="G13" s="12">
        <f t="shared" si="2"/>
        <v>8633.896104</v>
      </c>
    </row>
    <row r="14" ht="14.25" customHeight="1">
      <c r="A14" s="9">
        <v>12.0</v>
      </c>
      <c r="B14" s="10" t="s">
        <v>19</v>
      </c>
      <c r="C14" s="11">
        <v>58194.0</v>
      </c>
      <c r="D14" s="11">
        <v>59693.0</v>
      </c>
      <c r="E14" s="11">
        <f t="shared" si="1"/>
        <v>117887</v>
      </c>
      <c r="F14" s="12">
        <v>10.97</v>
      </c>
      <c r="G14" s="12">
        <f t="shared" si="2"/>
        <v>10746.30811</v>
      </c>
    </row>
    <row r="15" ht="14.25" customHeight="1">
      <c r="A15" s="9">
        <v>13.0</v>
      </c>
      <c r="B15" s="10" t="s">
        <v>20</v>
      </c>
      <c r="C15" s="11">
        <v>26438.0</v>
      </c>
      <c r="D15" s="11">
        <v>28775.0</v>
      </c>
      <c r="E15" s="11">
        <f t="shared" si="1"/>
        <v>55213</v>
      </c>
      <c r="F15" s="12">
        <v>6.14</v>
      </c>
      <c r="G15" s="12">
        <f t="shared" si="2"/>
        <v>8992.345277</v>
      </c>
    </row>
    <row r="16" ht="14.25" customHeight="1">
      <c r="A16" s="9">
        <v>14.0</v>
      </c>
      <c r="B16" s="10" t="s">
        <v>21</v>
      </c>
      <c r="C16" s="11">
        <v>73311.0</v>
      </c>
      <c r="D16" s="11">
        <v>76015.0</v>
      </c>
      <c r="E16" s="11">
        <f t="shared" si="1"/>
        <v>149326</v>
      </c>
      <c r="F16" s="12">
        <v>21.74</v>
      </c>
      <c r="G16" s="12">
        <f t="shared" si="2"/>
        <v>6868.721251</v>
      </c>
    </row>
    <row r="17" ht="14.25" customHeight="1">
      <c r="A17" s="9">
        <v>15.0</v>
      </c>
      <c r="B17" s="10" t="s">
        <v>22</v>
      </c>
      <c r="C17" s="11">
        <v>16906.0</v>
      </c>
      <c r="D17" s="11">
        <v>16889.0</v>
      </c>
      <c r="E17" s="11">
        <f t="shared" si="1"/>
        <v>33795</v>
      </c>
      <c r="F17" s="12">
        <v>31.78</v>
      </c>
      <c r="G17" s="12">
        <f t="shared" si="2"/>
        <v>1063.404657</v>
      </c>
    </row>
    <row r="18" ht="14.25" customHeight="1">
      <c r="A18" s="9">
        <v>16.0</v>
      </c>
      <c r="B18" s="10" t="s">
        <v>23</v>
      </c>
      <c r="C18" s="11">
        <v>72403.0</v>
      </c>
      <c r="D18" s="11">
        <v>73092.0</v>
      </c>
      <c r="E18" s="11">
        <f t="shared" si="1"/>
        <v>145495</v>
      </c>
      <c r="F18" s="12">
        <v>37.99</v>
      </c>
      <c r="G18" s="12">
        <f t="shared" si="2"/>
        <v>3829.823638</v>
      </c>
    </row>
    <row r="19" ht="14.25" customHeight="1">
      <c r="A19" s="13" t="s">
        <v>24</v>
      </c>
      <c r="B19" s="3"/>
      <c r="C19" s="14">
        <f t="shared" ref="C19:E19" si="3">SUM(C3:C18)</f>
        <v>838437</v>
      </c>
      <c r="D19" s="14">
        <f t="shared" si="3"/>
        <v>856306</v>
      </c>
      <c r="E19" s="14">
        <f t="shared" si="3"/>
        <v>1694743</v>
      </c>
      <c r="F19" s="15">
        <v>373.7</v>
      </c>
      <c r="G19" s="15">
        <f t="shared" si="2"/>
        <v>4535.036125</v>
      </c>
    </row>
    <row r="20" ht="14.25" customHeight="1">
      <c r="A20" s="16" t="s">
        <v>25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E1"/>
    <mergeCell ref="F1:F2"/>
    <mergeCell ref="G1:G2"/>
    <mergeCell ref="A19:B1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5.71"/>
    <col customWidth="1" min="3" max="3" width="10.57"/>
    <col customWidth="1" min="4" max="4" width="11.71"/>
    <col customWidth="1" min="5" max="5" width="20.57"/>
    <col customWidth="1" min="6" max="6" width="8.71"/>
    <col customWidth="1" min="7" max="7" width="13.29"/>
    <col customWidth="1" min="8" max="26" width="8.71"/>
  </cols>
  <sheetData>
    <row r="1" ht="31.5" customHeight="1">
      <c r="A1" s="1" t="s">
        <v>0</v>
      </c>
      <c r="B1" s="2"/>
      <c r="C1" s="2"/>
      <c r="D1" s="2"/>
      <c r="E1" s="3"/>
      <c r="F1" s="4" t="s">
        <v>1</v>
      </c>
      <c r="G1" s="5" t="s">
        <v>2</v>
      </c>
    </row>
    <row r="2" ht="14.25" customHeight="1">
      <c r="A2" s="6" t="s">
        <v>3</v>
      </c>
      <c r="B2" s="6" t="s">
        <v>4</v>
      </c>
      <c r="C2" s="7" t="s">
        <v>5</v>
      </c>
      <c r="D2" s="7" t="s">
        <v>6</v>
      </c>
      <c r="E2" s="7" t="s">
        <v>7</v>
      </c>
      <c r="F2" s="8"/>
      <c r="G2" s="8"/>
    </row>
    <row r="3" ht="14.25" customHeight="1">
      <c r="A3" s="9">
        <v>1.0</v>
      </c>
      <c r="B3" s="10" t="s">
        <v>8</v>
      </c>
      <c r="C3" s="11">
        <v>46420.0</v>
      </c>
      <c r="D3" s="11">
        <v>46668.0</v>
      </c>
      <c r="E3" s="11">
        <f t="shared" ref="E3:E18" si="1">C3+D3</f>
        <v>93088</v>
      </c>
      <c r="F3" s="12">
        <v>57.55</v>
      </c>
      <c r="G3" s="12">
        <f t="shared" ref="G3:G19" si="2">E3/F3</f>
        <v>1617.515204</v>
      </c>
    </row>
    <row r="4" ht="14.25" customHeight="1">
      <c r="A4" s="9">
        <v>2.0</v>
      </c>
      <c r="B4" s="10" t="s">
        <v>9</v>
      </c>
      <c r="C4" s="11">
        <v>50735.0</v>
      </c>
      <c r="D4" s="11">
        <v>50842.0</v>
      </c>
      <c r="E4" s="11">
        <f t="shared" si="1"/>
        <v>101577</v>
      </c>
      <c r="F4" s="12">
        <v>54.11</v>
      </c>
      <c r="G4" s="12">
        <f t="shared" si="2"/>
        <v>1877.231565</v>
      </c>
    </row>
    <row r="5" ht="14.25" customHeight="1">
      <c r="A5" s="9">
        <v>3.0</v>
      </c>
      <c r="B5" s="10" t="s">
        <v>10</v>
      </c>
      <c r="C5" s="11">
        <v>70861.0</v>
      </c>
      <c r="D5" s="11">
        <v>72885.0</v>
      </c>
      <c r="E5" s="11">
        <f t="shared" si="1"/>
        <v>143746</v>
      </c>
      <c r="F5" s="12">
        <v>25.69</v>
      </c>
      <c r="G5" s="12">
        <f t="shared" si="2"/>
        <v>5595.406773</v>
      </c>
    </row>
    <row r="6" ht="14.25" customHeight="1">
      <c r="A6" s="9">
        <v>4.0</v>
      </c>
      <c r="B6" s="10" t="s">
        <v>11</v>
      </c>
      <c r="C6" s="11">
        <v>27600.0</v>
      </c>
      <c r="D6" s="11">
        <v>28734.0</v>
      </c>
      <c r="E6" s="11">
        <f t="shared" si="1"/>
        <v>56334</v>
      </c>
      <c r="F6" s="12">
        <v>9.07</v>
      </c>
      <c r="G6" s="12">
        <f t="shared" si="2"/>
        <v>6211.025358</v>
      </c>
    </row>
    <row r="7" ht="14.25" customHeight="1">
      <c r="A7" s="9">
        <v>5.0</v>
      </c>
      <c r="B7" s="10" t="s">
        <v>12</v>
      </c>
      <c r="C7" s="11">
        <v>30224.0</v>
      </c>
      <c r="D7" s="11">
        <v>31794.0</v>
      </c>
      <c r="E7" s="11">
        <f t="shared" si="1"/>
        <v>62018</v>
      </c>
      <c r="F7" s="12">
        <v>5.93</v>
      </c>
      <c r="G7" s="12">
        <f t="shared" si="2"/>
        <v>10458.34739</v>
      </c>
    </row>
    <row r="8" ht="14.25" customHeight="1">
      <c r="A8" s="9">
        <v>6.0</v>
      </c>
      <c r="B8" s="10" t="s">
        <v>13</v>
      </c>
      <c r="C8" s="11">
        <v>37317.0</v>
      </c>
      <c r="D8" s="11">
        <v>38125.0</v>
      </c>
      <c r="E8" s="11">
        <f t="shared" si="1"/>
        <v>75442</v>
      </c>
      <c r="F8" s="12">
        <v>6.54</v>
      </c>
      <c r="G8" s="12">
        <f t="shared" si="2"/>
        <v>11535.47401</v>
      </c>
    </row>
    <row r="9" ht="14.25" customHeight="1">
      <c r="A9" s="9">
        <v>7.0</v>
      </c>
      <c r="B9" s="10" t="s">
        <v>14</v>
      </c>
      <c r="C9" s="11">
        <v>100313.0</v>
      </c>
      <c r="D9" s="11">
        <v>101508.0</v>
      </c>
      <c r="E9" s="11">
        <f t="shared" si="1"/>
        <v>201821</v>
      </c>
      <c r="F9" s="12">
        <v>44.2</v>
      </c>
      <c r="G9" s="12">
        <f t="shared" si="2"/>
        <v>4566.085973</v>
      </c>
    </row>
    <row r="10" ht="14.25" customHeight="1">
      <c r="A10" s="9">
        <v>8.0</v>
      </c>
      <c r="B10" s="10" t="s">
        <v>15</v>
      </c>
      <c r="C10" s="11">
        <v>97609.0</v>
      </c>
      <c r="D10" s="11">
        <v>99859.0</v>
      </c>
      <c r="E10" s="11">
        <f t="shared" si="1"/>
        <v>197468</v>
      </c>
      <c r="F10" s="12">
        <v>20.72</v>
      </c>
      <c r="G10" s="12">
        <f t="shared" si="2"/>
        <v>9530.30888</v>
      </c>
    </row>
    <row r="11" ht="14.25" customHeight="1">
      <c r="A11" s="9">
        <v>9.0</v>
      </c>
      <c r="B11" s="10" t="s">
        <v>16</v>
      </c>
      <c r="C11" s="11">
        <v>68709.0</v>
      </c>
      <c r="D11" s="11">
        <v>68647.0</v>
      </c>
      <c r="E11" s="11">
        <f t="shared" si="1"/>
        <v>137356</v>
      </c>
      <c r="F11" s="12">
        <v>27.39</v>
      </c>
      <c r="G11" s="12">
        <f t="shared" si="2"/>
        <v>5014.822928</v>
      </c>
    </row>
    <row r="12" ht="14.25" customHeight="1">
      <c r="A12" s="9">
        <v>10.0</v>
      </c>
      <c r="B12" s="10" t="s">
        <v>17</v>
      </c>
      <c r="C12" s="11">
        <v>35019.0</v>
      </c>
      <c r="D12" s="11">
        <v>35369.0</v>
      </c>
      <c r="E12" s="11">
        <f t="shared" si="1"/>
        <v>70388</v>
      </c>
      <c r="F12" s="12">
        <v>6.18</v>
      </c>
      <c r="G12" s="12">
        <f t="shared" si="2"/>
        <v>11389.64401</v>
      </c>
    </row>
    <row r="13" ht="14.25" customHeight="1">
      <c r="A13" s="9">
        <v>11.0</v>
      </c>
      <c r="B13" s="10" t="s">
        <v>18</v>
      </c>
      <c r="C13" s="11">
        <v>32280.0</v>
      </c>
      <c r="D13" s="11">
        <v>34195.0</v>
      </c>
      <c r="E13" s="11">
        <f t="shared" si="1"/>
        <v>66475</v>
      </c>
      <c r="F13" s="12">
        <v>7.7</v>
      </c>
      <c r="G13" s="12">
        <f t="shared" si="2"/>
        <v>8633.116883</v>
      </c>
    </row>
    <row r="14" ht="14.25" customHeight="1">
      <c r="A14" s="9">
        <v>12.0</v>
      </c>
      <c r="B14" s="10" t="s">
        <v>19</v>
      </c>
      <c r="C14" s="11">
        <v>58229.0</v>
      </c>
      <c r="D14" s="11">
        <v>59636.0</v>
      </c>
      <c r="E14" s="11">
        <f t="shared" si="1"/>
        <v>117865</v>
      </c>
      <c r="F14" s="12">
        <v>10.97</v>
      </c>
      <c r="G14" s="12">
        <f t="shared" si="2"/>
        <v>10744.30264</v>
      </c>
    </row>
    <row r="15" ht="14.25" customHeight="1">
      <c r="A15" s="9">
        <v>13.0</v>
      </c>
      <c r="B15" s="10" t="s">
        <v>20</v>
      </c>
      <c r="C15" s="11">
        <v>26454.0</v>
      </c>
      <c r="D15" s="11">
        <v>28754.0</v>
      </c>
      <c r="E15" s="11">
        <f t="shared" si="1"/>
        <v>55208</v>
      </c>
      <c r="F15" s="12">
        <v>6.14</v>
      </c>
      <c r="G15" s="12">
        <f t="shared" si="2"/>
        <v>8991.530945</v>
      </c>
    </row>
    <row r="16" ht="14.25" customHeight="1">
      <c r="A16" s="9">
        <v>14.0</v>
      </c>
      <c r="B16" s="10" t="s">
        <v>21</v>
      </c>
      <c r="C16" s="11">
        <v>73355.0</v>
      </c>
      <c r="D16" s="11">
        <v>75972.0</v>
      </c>
      <c r="E16" s="11">
        <f t="shared" si="1"/>
        <v>149327</v>
      </c>
      <c r="F16" s="12">
        <v>21.74</v>
      </c>
      <c r="G16" s="12">
        <f t="shared" si="2"/>
        <v>6868.767249</v>
      </c>
    </row>
    <row r="17" ht="14.25" customHeight="1">
      <c r="A17" s="9">
        <v>15.0</v>
      </c>
      <c r="B17" s="10" t="s">
        <v>22</v>
      </c>
      <c r="C17" s="11">
        <v>17054.0</v>
      </c>
      <c r="D17" s="11">
        <v>17038.0</v>
      </c>
      <c r="E17" s="11">
        <f t="shared" si="1"/>
        <v>34092</v>
      </c>
      <c r="F17" s="12">
        <v>31.78</v>
      </c>
      <c r="G17" s="12">
        <f t="shared" si="2"/>
        <v>1072.750157</v>
      </c>
    </row>
    <row r="18" ht="14.25" customHeight="1">
      <c r="A18" s="9">
        <v>16.0</v>
      </c>
      <c r="B18" s="10" t="s">
        <v>23</v>
      </c>
      <c r="C18" s="11">
        <v>72998.0</v>
      </c>
      <c r="D18" s="11">
        <v>73630.0</v>
      </c>
      <c r="E18" s="11">
        <f t="shared" si="1"/>
        <v>146628</v>
      </c>
      <c r="F18" s="12">
        <v>37.99</v>
      </c>
      <c r="G18" s="12">
        <f t="shared" si="2"/>
        <v>3859.647276</v>
      </c>
    </row>
    <row r="19" ht="14.25" customHeight="1">
      <c r="A19" s="13" t="s">
        <v>24</v>
      </c>
      <c r="B19" s="3"/>
      <c r="C19" s="14">
        <f t="shared" ref="C19:E19" si="3">SUM(C3:C18)</f>
        <v>845177</v>
      </c>
      <c r="D19" s="14">
        <f t="shared" si="3"/>
        <v>863656</v>
      </c>
      <c r="E19" s="14">
        <f t="shared" si="3"/>
        <v>1708833</v>
      </c>
      <c r="F19" s="15">
        <v>373.7</v>
      </c>
      <c r="G19" s="15">
        <f t="shared" si="2"/>
        <v>4572.740166</v>
      </c>
    </row>
    <row r="20" ht="14.25" customHeight="1">
      <c r="A20" s="16" t="s">
        <v>25</v>
      </c>
    </row>
    <row r="21" ht="14.25" customHeight="1"/>
    <row r="22" ht="14.25" customHeight="1"/>
    <row r="23" ht="14.25" customHeight="1">
      <c r="C23" s="17">
        <f>C19/1000000</f>
        <v>0.845177</v>
      </c>
    </row>
    <row r="24" ht="14.25" customHeight="1">
      <c r="H24" s="17">
        <f>(E19-'2023'!E190)/'2023'!E19*100-100</f>
        <v>0.8313944946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E1"/>
    <mergeCell ref="F1:F2"/>
    <mergeCell ref="G1:G2"/>
    <mergeCell ref="A19:B1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2025-04-11T01:28:31Z</dcterms:created>
  <dc:creator>bayu ardiansyah</dc:creator>
</cp:coreProperties>
</file>