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nduduk\"/>
    </mc:Choice>
  </mc:AlternateContent>
  <bookViews>
    <workbookView xWindow="0" yWindow="0" windowWidth="19010" windowHeight="670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definedNames>
    <definedName name="_xlnm._FilterDatabase" localSheetId="0" hidden="1">'2020'!$A$1:$E$19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5" l="1"/>
  <c r="B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C19" i="4"/>
  <c r="B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19" i="3"/>
  <c r="B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C19" i="2"/>
  <c r="B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19" i="4" l="1"/>
  <c r="D19" i="3"/>
  <c r="D19" i="2"/>
  <c r="D19" i="5"/>
  <c r="C19" i="1"/>
  <c r="B1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3" i="1"/>
  <c r="D19" i="1" l="1"/>
</calcChain>
</file>

<file path=xl/sharedStrings.xml><?xml version="1.0" encoding="utf-8"?>
<sst xmlns="http://schemas.openxmlformats.org/spreadsheetml/2006/main" count="119" uniqueCount="29">
  <si>
    <t>Kota Semarang</t>
  </si>
  <si>
    <t>Penduduk Kota Semarang Menurut Kelompok Umur
(Hasil Proyeksi Penduduk)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</si>
  <si>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</si>
  <si>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</si>
  <si>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</si>
  <si>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</si>
  <si>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</si>
  <si>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</si>
  <si>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</si>
  <si>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</si>
  <si>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</si>
  <si>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</si>
  <si>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</si>
  <si>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</si>
  <si>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</si>
  <si>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</si>
  <si>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</si>
  <si>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 +</t>
  </si>
  <si>
    <t>Laki-laki</t>
  </si>
  <si>
    <t>Perempuan</t>
  </si>
  <si>
    <t>Lk + Pr</t>
  </si>
  <si>
    <t>Note:</t>
  </si>
  <si>
    <t>1. Data dari web bps dan buku dalam angka berbeda satuan, sehingga hasil penjumlahan berbeda</t>
  </si>
  <si>
    <t>2. Hasil pembulatan excel berbeda dengan hasil pembulatan buku dalam angka</t>
  </si>
  <si>
    <t>Kelompok Umur</t>
  </si>
  <si>
    <t>3. Kelompok umur di web bps (hanya sampai 65+) dengan di buku dalam angka berbeda (75+)</t>
  </si>
  <si>
    <t>Sumber: Hasil Perapihan Umur dari Data Administratif dan SP2020 (September)</t>
  </si>
  <si>
    <t>Sumber: Badan Pusat Statistik (BPS)</t>
  </si>
  <si>
    <t>Sumber: Badan Pusat Statistik, Proyeksi Penduduk 2020-2050 hasil Sensus Penduduk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</si>
</sst>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16" fontId="0" fillId="2" borderId="1" xfId="0" quotePrefix="1" applyNumberFormat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23" sqref="D23"/>
    </sheetView>
  </sheetViews>
  <sheetFormatPr defaultRowHeight="14.5" x14ac:dyDescent="0.35"/>
  <cols>
    <col min="1" max="1" width="15.7265625" bestFit="1" customWidth="1"/>
    <col min="2" max="5" width="10.6328125" customWidth="1"/>
  </cols>
  <sheetData>
    <row r="1" spans="1:4" ht="32" customHeight="1" x14ac:dyDescent="0.35">
      <c r="A1" s="20" t="s">
        <v>1</v>
      </c>
      <c r="B1" s="21"/>
      <c r="C1" s="21"/>
      <c r="D1" s="22"/>
    </row>
    <row r="2" spans="1:4" x14ac:dyDescent="0.35">
      <c r="A2" s="1" t="s">
        <v>24</v>
      </c>
      <c r="B2" s="1" t="s">
        <v>18</v>
      </c>
      <c r="C2" s="1" t="s">
        <v>19</v>
      </c>
      <c r="D2" s="1" t="s">
        <v>20</v>
      </c>
    </row>
    <row r="3" spans="1:4" x14ac:dyDescent="0.35">
      <c r="A3" s="2" t="s">
        <v>2</v>
      </c>
      <c r="B3" s="4">
        <v>59956</v>
      </c>
      <c r="C3" s="4">
        <v>57129</v>
      </c>
      <c r="D3" s="4">
        <f>B3+C3</f>
        <v>117085</v>
      </c>
    </row>
    <row r="4" spans="1:4" x14ac:dyDescent="0.35">
      <c r="A4" s="7" t="s">
        <v>3</v>
      </c>
      <c r="B4" s="4">
        <v>62916</v>
      </c>
      <c r="C4" s="4">
        <v>60072</v>
      </c>
      <c r="D4" s="4">
        <f t="shared" ref="D4:D18" si="0">B4+C4</f>
        <v>122988</v>
      </c>
    </row>
    <row r="5" spans="1:4" x14ac:dyDescent="0.35">
      <c r="A5" s="8" t="s">
        <v>4</v>
      </c>
      <c r="B5" s="4">
        <v>65339</v>
      </c>
      <c r="C5" s="4">
        <v>61606</v>
      </c>
      <c r="D5" s="4">
        <f t="shared" si="0"/>
        <v>126945</v>
      </c>
    </row>
    <row r="6" spans="1:4" x14ac:dyDescent="0.35">
      <c r="A6" s="8" t="s">
        <v>5</v>
      </c>
      <c r="B6" s="4">
        <v>67286</v>
      </c>
      <c r="C6" s="4">
        <v>63530</v>
      </c>
      <c r="D6" s="4">
        <f t="shared" si="0"/>
        <v>130816</v>
      </c>
    </row>
    <row r="7" spans="1:4" x14ac:dyDescent="0.35">
      <c r="A7" s="8" t="s">
        <v>6</v>
      </c>
      <c r="B7" s="4">
        <v>65164</v>
      </c>
      <c r="C7" s="4">
        <v>62662</v>
      </c>
      <c r="D7" s="4">
        <f t="shared" si="0"/>
        <v>127826</v>
      </c>
    </row>
    <row r="8" spans="1:4" x14ac:dyDescent="0.35">
      <c r="A8" s="8" t="s">
        <v>7</v>
      </c>
      <c r="B8" s="4">
        <v>65090</v>
      </c>
      <c r="C8" s="4">
        <v>64926</v>
      </c>
      <c r="D8" s="4">
        <f t="shared" si="0"/>
        <v>130016</v>
      </c>
    </row>
    <row r="9" spans="1:4" x14ac:dyDescent="0.35">
      <c r="A9" s="8" t="s">
        <v>8</v>
      </c>
      <c r="B9" s="4">
        <v>65816</v>
      </c>
      <c r="C9" s="4">
        <v>66879</v>
      </c>
      <c r="D9" s="4">
        <f t="shared" si="0"/>
        <v>132695</v>
      </c>
    </row>
    <row r="10" spans="1:4" x14ac:dyDescent="0.35">
      <c r="A10" s="8" t="s">
        <v>9</v>
      </c>
      <c r="B10" s="4">
        <v>66900</v>
      </c>
      <c r="C10" s="4">
        <v>68394</v>
      </c>
      <c r="D10" s="4">
        <f t="shared" si="0"/>
        <v>135294</v>
      </c>
    </row>
    <row r="11" spans="1:4" x14ac:dyDescent="0.35">
      <c r="A11" s="2" t="s">
        <v>10</v>
      </c>
      <c r="B11" s="4">
        <v>65889</v>
      </c>
      <c r="C11" s="4">
        <v>68271</v>
      </c>
      <c r="D11" s="4">
        <f t="shared" si="0"/>
        <v>134160</v>
      </c>
    </row>
    <row r="12" spans="1:4" x14ac:dyDescent="0.35">
      <c r="A12" s="2" t="s">
        <v>11</v>
      </c>
      <c r="B12" s="4">
        <v>58527</v>
      </c>
      <c r="C12" s="4">
        <v>61788</v>
      </c>
      <c r="D12" s="4">
        <f t="shared" si="0"/>
        <v>120315</v>
      </c>
    </row>
    <row r="13" spans="1:4" x14ac:dyDescent="0.35">
      <c r="A13" s="2" t="s">
        <v>12</v>
      </c>
      <c r="B13" s="4">
        <v>51278</v>
      </c>
      <c r="C13" s="4">
        <v>55567</v>
      </c>
      <c r="D13" s="4">
        <f t="shared" si="0"/>
        <v>106845</v>
      </c>
    </row>
    <row r="14" spans="1:4" x14ac:dyDescent="0.35">
      <c r="A14" s="2" t="s">
        <v>13</v>
      </c>
      <c r="B14" s="4">
        <v>43285</v>
      </c>
      <c r="C14" s="4">
        <v>47881</v>
      </c>
      <c r="D14" s="4">
        <f t="shared" si="0"/>
        <v>91166</v>
      </c>
    </row>
    <row r="15" spans="1:4" x14ac:dyDescent="0.35">
      <c r="A15" s="2" t="s">
        <v>14</v>
      </c>
      <c r="B15" s="4">
        <v>34843</v>
      </c>
      <c r="C15" s="4">
        <v>38034</v>
      </c>
      <c r="D15" s="4">
        <f t="shared" si="0"/>
        <v>72877</v>
      </c>
    </row>
    <row r="16" spans="1:4" x14ac:dyDescent="0.35">
      <c r="A16" s="2" t="s">
        <v>15</v>
      </c>
      <c r="B16" s="4">
        <v>24313</v>
      </c>
      <c r="C16" s="4">
        <v>27697</v>
      </c>
      <c r="D16" s="4">
        <f t="shared" si="0"/>
        <v>52010</v>
      </c>
    </row>
    <row r="17" spans="1:4" x14ac:dyDescent="0.35">
      <c r="A17" s="2" t="s">
        <v>16</v>
      </c>
      <c r="B17" s="4">
        <v>11895</v>
      </c>
      <c r="C17" s="4">
        <v>14301</v>
      </c>
      <c r="D17" s="4">
        <f t="shared" si="0"/>
        <v>26196</v>
      </c>
    </row>
    <row r="18" spans="1:4" x14ac:dyDescent="0.35">
      <c r="A18" s="2" t="s">
        <v>17</v>
      </c>
      <c r="B18" s="4">
        <v>9944</v>
      </c>
      <c r="C18" s="4">
        <v>16346</v>
      </c>
      <c r="D18" s="4">
        <f t="shared" si="0"/>
        <v>26290</v>
      </c>
    </row>
    <row r="19" spans="1:4" x14ac:dyDescent="0.35">
      <c r="A19" s="6" t="s">
        <v>0</v>
      </c>
      <c r="B19" s="5">
        <f>SUM(B3:B18)</f>
        <v>818441</v>
      </c>
      <c r="C19" s="5">
        <f>SUM(C3:C18)</f>
        <v>835083</v>
      </c>
      <c r="D19" s="5">
        <f>SUM(D3:D18)</f>
        <v>1653524</v>
      </c>
    </row>
    <row r="20" spans="1:4" x14ac:dyDescent="0.35">
      <c r="A20" s="23" t="s">
        <v>26</v>
      </c>
    </row>
  </sheetData>
  <mergeCells count="1">
    <mergeCell ref="A1:D1"/>
  </mergeCells>
  <pageMargins left="0.7" right="0.7" top="0.75" bottom="0.75" header="0.3" footer="0.3"/>
  <pageSetup orientation="portrait" r:id="rId1"/>
  <ignoredErrors>
    <ignoredError sqref="A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14" workbookViewId="0">
      <selection activeCell="A20" sqref="A20"/>
    </sheetView>
  </sheetViews>
  <sheetFormatPr defaultRowHeight="14.5" x14ac:dyDescent="0.35"/>
  <cols>
    <col min="1" max="1" width="15.7265625" bestFit="1" customWidth="1"/>
    <col min="2" max="4" width="10.6328125" customWidth="1"/>
  </cols>
  <sheetData>
    <row r="1" spans="1:4" ht="32" customHeight="1" x14ac:dyDescent="0.35">
      <c r="A1" s="20" t="s">
        <v>1</v>
      </c>
      <c r="B1" s="21"/>
      <c r="C1" s="21"/>
      <c r="D1" s="22"/>
    </row>
    <row r="2" spans="1:4" x14ac:dyDescent="0.35">
      <c r="A2" s="3" t="s">
        <v>24</v>
      </c>
      <c r="B2" s="3" t="s">
        <v>18</v>
      </c>
      <c r="C2" s="3" t="s">
        <v>19</v>
      </c>
      <c r="D2" s="3" t="s">
        <v>20</v>
      </c>
    </row>
    <row r="3" spans="1:4" x14ac:dyDescent="0.35">
      <c r="A3" s="2" t="s">
        <v>2</v>
      </c>
      <c r="B3" s="4">
        <v>59504</v>
      </c>
      <c r="C3" s="4">
        <v>56673</v>
      </c>
      <c r="D3" s="4">
        <f>B3+C3</f>
        <v>116177</v>
      </c>
    </row>
    <row r="4" spans="1:4" x14ac:dyDescent="0.35">
      <c r="A4" s="7" t="s">
        <v>3</v>
      </c>
      <c r="B4" s="4">
        <v>62324</v>
      </c>
      <c r="C4" s="4">
        <v>59608</v>
      </c>
      <c r="D4" s="4">
        <f t="shared" ref="D4:D18" si="0">B4+C4</f>
        <v>121932</v>
      </c>
    </row>
    <row r="5" spans="1:4" x14ac:dyDescent="0.35">
      <c r="A5" s="8" t="s">
        <v>4</v>
      </c>
      <c r="B5" s="4">
        <v>64596</v>
      </c>
      <c r="C5" s="4">
        <v>61052</v>
      </c>
      <c r="D5" s="4">
        <f t="shared" si="0"/>
        <v>125648</v>
      </c>
    </row>
    <row r="6" spans="1:4" x14ac:dyDescent="0.35">
      <c r="A6" s="8" t="s">
        <v>5</v>
      </c>
      <c r="B6" s="4">
        <v>66546</v>
      </c>
      <c r="C6" s="4">
        <v>62632</v>
      </c>
      <c r="D6" s="4">
        <f t="shared" si="0"/>
        <v>129178</v>
      </c>
    </row>
    <row r="7" spans="1:4" x14ac:dyDescent="0.35">
      <c r="A7" s="8" t="s">
        <v>6</v>
      </c>
      <c r="B7" s="4">
        <v>64040</v>
      </c>
      <c r="C7" s="4">
        <v>61511</v>
      </c>
      <c r="D7" s="4">
        <f t="shared" si="0"/>
        <v>125551</v>
      </c>
    </row>
    <row r="8" spans="1:4" x14ac:dyDescent="0.35">
      <c r="A8" s="8" t="s">
        <v>7</v>
      </c>
      <c r="B8" s="4">
        <v>64617</v>
      </c>
      <c r="C8" s="4">
        <v>64356</v>
      </c>
      <c r="D8" s="4">
        <f t="shared" si="0"/>
        <v>128973</v>
      </c>
    </row>
    <row r="9" spans="1:4" x14ac:dyDescent="0.35">
      <c r="A9" s="8" t="s">
        <v>8</v>
      </c>
      <c r="B9" s="4">
        <v>65580</v>
      </c>
      <c r="C9" s="4">
        <v>66547</v>
      </c>
      <c r="D9" s="4">
        <f t="shared" si="0"/>
        <v>132127</v>
      </c>
    </row>
    <row r="10" spans="1:4" x14ac:dyDescent="0.35">
      <c r="A10" s="8" t="s">
        <v>9</v>
      </c>
      <c r="B10" s="4">
        <v>67039</v>
      </c>
      <c r="C10" s="4">
        <v>68197</v>
      </c>
      <c r="D10" s="4">
        <f t="shared" si="0"/>
        <v>135236</v>
      </c>
    </row>
    <row r="11" spans="1:4" x14ac:dyDescent="0.35">
      <c r="A11" s="2" t="s">
        <v>10</v>
      </c>
      <c r="B11" s="4">
        <v>66165</v>
      </c>
      <c r="C11" s="4">
        <v>68233</v>
      </c>
      <c r="D11" s="4">
        <f t="shared" si="0"/>
        <v>134398</v>
      </c>
    </row>
    <row r="12" spans="1:4" x14ac:dyDescent="0.35">
      <c r="A12" s="2" t="s">
        <v>11</v>
      </c>
      <c r="B12" s="4">
        <v>59085</v>
      </c>
      <c r="C12" s="4">
        <v>62225</v>
      </c>
      <c r="D12" s="4">
        <f t="shared" si="0"/>
        <v>121310</v>
      </c>
    </row>
    <row r="13" spans="1:4" x14ac:dyDescent="0.35">
      <c r="A13" s="2" t="s">
        <v>12</v>
      </c>
      <c r="B13" s="4">
        <v>51914</v>
      </c>
      <c r="C13" s="4">
        <v>56164</v>
      </c>
      <c r="D13" s="4">
        <f t="shared" si="0"/>
        <v>108078</v>
      </c>
    </row>
    <row r="14" spans="1:4" x14ac:dyDescent="0.35">
      <c r="A14" s="2" t="s">
        <v>13</v>
      </c>
      <c r="B14" s="4">
        <v>44172</v>
      </c>
      <c r="C14" s="4">
        <v>48986</v>
      </c>
      <c r="D14" s="4">
        <f t="shared" si="0"/>
        <v>93158</v>
      </c>
    </row>
    <row r="15" spans="1:4" x14ac:dyDescent="0.35">
      <c r="A15" s="2" t="s">
        <v>14</v>
      </c>
      <c r="B15" s="4">
        <v>35730</v>
      </c>
      <c r="C15" s="4">
        <v>39247</v>
      </c>
      <c r="D15" s="4">
        <f t="shared" si="0"/>
        <v>74977</v>
      </c>
    </row>
    <row r="16" spans="1:4" x14ac:dyDescent="0.35">
      <c r="A16" s="2" t="s">
        <v>15</v>
      </c>
      <c r="B16" s="4">
        <v>25328</v>
      </c>
      <c r="C16" s="4">
        <v>28949</v>
      </c>
      <c r="D16" s="4">
        <f t="shared" si="0"/>
        <v>54277</v>
      </c>
    </row>
    <row r="17" spans="1:4" x14ac:dyDescent="0.35">
      <c r="A17" s="2" t="s">
        <v>16</v>
      </c>
      <c r="B17" s="4">
        <v>12696</v>
      </c>
      <c r="C17" s="4">
        <v>15245</v>
      </c>
      <c r="D17" s="4">
        <f t="shared" si="0"/>
        <v>27941</v>
      </c>
    </row>
    <row r="18" spans="1:4" x14ac:dyDescent="0.35">
      <c r="A18" s="2" t="s">
        <v>17</v>
      </c>
      <c r="B18" s="4">
        <v>10449</v>
      </c>
      <c r="C18" s="4">
        <v>17154</v>
      </c>
      <c r="D18" s="4">
        <f t="shared" si="0"/>
        <v>27603</v>
      </c>
    </row>
    <row r="19" spans="1:4" x14ac:dyDescent="0.35">
      <c r="A19" s="6" t="s">
        <v>0</v>
      </c>
      <c r="B19" s="5">
        <f>SUM(B3:B18)</f>
        <v>819785</v>
      </c>
      <c r="C19" s="5">
        <f>SUM(C3:C18)</f>
        <v>836779</v>
      </c>
      <c r="D19" s="5">
        <f>SUM(D3:D18)</f>
        <v>1656564</v>
      </c>
    </row>
    <row r="20" spans="1:4" x14ac:dyDescent="0.35">
      <c r="A20" s="23" t="s">
        <v>27</v>
      </c>
    </row>
  </sheetData>
  <mergeCells count="1">
    <mergeCell ref="A1:D1"/>
  </mergeCells>
  <pageMargins left="0.7" right="0.7" top="0.75" bottom="0.75" header="0.3" footer="0.3"/>
  <pageSetup orientation="portrait" r:id="rId1"/>
  <ignoredErrors>
    <ignoredError sqref="A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2" workbookViewId="0">
      <selection activeCell="A20" sqref="A20"/>
    </sheetView>
  </sheetViews>
  <sheetFormatPr defaultRowHeight="14.5" x14ac:dyDescent="0.35"/>
  <cols>
    <col min="1" max="1" width="15.7265625" bestFit="1" customWidth="1"/>
    <col min="2" max="3" width="10.6328125" customWidth="1"/>
    <col min="4" max="4" width="10.54296875" customWidth="1"/>
  </cols>
  <sheetData>
    <row r="1" spans="1:4" ht="32" customHeight="1" x14ac:dyDescent="0.35">
      <c r="A1" s="20" t="s">
        <v>1</v>
      </c>
      <c r="B1" s="21"/>
      <c r="C1" s="21"/>
      <c r="D1" s="22"/>
    </row>
    <row r="2" spans="1:4" x14ac:dyDescent="0.35">
      <c r="A2" s="3" t="s">
        <v>24</v>
      </c>
      <c r="B2" s="3" t="s">
        <v>18</v>
      </c>
      <c r="C2" s="3" t="s">
        <v>19</v>
      </c>
      <c r="D2" s="3" t="s">
        <v>20</v>
      </c>
    </row>
    <row r="3" spans="1:4" x14ac:dyDescent="0.35">
      <c r="A3" s="2" t="s">
        <v>2</v>
      </c>
      <c r="B3" s="4">
        <v>59101</v>
      </c>
      <c r="C3" s="4">
        <v>56283</v>
      </c>
      <c r="D3" s="4">
        <f>B3+C3</f>
        <v>115384</v>
      </c>
    </row>
    <row r="4" spans="1:4" x14ac:dyDescent="0.35">
      <c r="A4" s="7" t="s">
        <v>3</v>
      </c>
      <c r="B4" s="4">
        <v>61865</v>
      </c>
      <c r="C4" s="4">
        <v>59196</v>
      </c>
      <c r="D4" s="4">
        <f t="shared" ref="D4:D18" si="0">B4+C4</f>
        <v>121061</v>
      </c>
    </row>
    <row r="5" spans="1:4" x14ac:dyDescent="0.35">
      <c r="A5" s="8" t="s">
        <v>4</v>
      </c>
      <c r="B5" s="4">
        <v>63815</v>
      </c>
      <c r="C5" s="4">
        <v>60517</v>
      </c>
      <c r="D5" s="4">
        <f t="shared" si="0"/>
        <v>124332</v>
      </c>
    </row>
    <row r="6" spans="1:4" x14ac:dyDescent="0.35">
      <c r="A6" s="8" t="s">
        <v>5</v>
      </c>
      <c r="B6" s="4">
        <v>65937</v>
      </c>
      <c r="C6" s="4">
        <v>61897</v>
      </c>
      <c r="D6" s="4">
        <f t="shared" si="0"/>
        <v>127834</v>
      </c>
    </row>
    <row r="7" spans="1:4" x14ac:dyDescent="0.35">
      <c r="A7" s="8" t="s">
        <v>6</v>
      </c>
      <c r="B7" s="4">
        <v>62965</v>
      </c>
      <c r="C7" s="4">
        <v>60391</v>
      </c>
      <c r="D7" s="4">
        <f t="shared" si="0"/>
        <v>123356</v>
      </c>
    </row>
    <row r="8" spans="1:4" x14ac:dyDescent="0.35">
      <c r="A8" s="8" t="s">
        <v>7</v>
      </c>
      <c r="B8" s="4">
        <v>64097</v>
      </c>
      <c r="C8" s="4">
        <v>63745</v>
      </c>
      <c r="D8" s="4">
        <f t="shared" si="0"/>
        <v>127842</v>
      </c>
    </row>
    <row r="9" spans="1:4" x14ac:dyDescent="0.35">
      <c r="A9" s="8" t="s">
        <v>8</v>
      </c>
      <c r="B9" s="4">
        <v>65280</v>
      </c>
      <c r="C9" s="4">
        <v>66154</v>
      </c>
      <c r="D9" s="4">
        <f t="shared" si="0"/>
        <v>131434</v>
      </c>
    </row>
    <row r="10" spans="1:4" x14ac:dyDescent="0.35">
      <c r="A10" s="8" t="s">
        <v>9</v>
      </c>
      <c r="B10" s="4">
        <v>67209</v>
      </c>
      <c r="C10" s="4">
        <v>68102</v>
      </c>
      <c r="D10" s="4">
        <f t="shared" si="0"/>
        <v>135311</v>
      </c>
    </row>
    <row r="11" spans="1:4" x14ac:dyDescent="0.35">
      <c r="A11" s="2" t="s">
        <v>10</v>
      </c>
      <c r="B11" s="4">
        <v>66353</v>
      </c>
      <c r="C11" s="4">
        <v>68052</v>
      </c>
      <c r="D11" s="4">
        <f t="shared" si="0"/>
        <v>134405</v>
      </c>
    </row>
    <row r="12" spans="1:4" x14ac:dyDescent="0.35">
      <c r="A12" s="2" t="s">
        <v>11</v>
      </c>
      <c r="B12" s="4">
        <v>59709</v>
      </c>
      <c r="C12" s="4">
        <v>62734</v>
      </c>
      <c r="D12" s="4">
        <f t="shared" si="0"/>
        <v>122443</v>
      </c>
    </row>
    <row r="13" spans="1:4" x14ac:dyDescent="0.35">
      <c r="A13" s="2" t="s">
        <v>12</v>
      </c>
      <c r="B13" s="4">
        <v>52471</v>
      </c>
      <c r="C13" s="4">
        <v>56642</v>
      </c>
      <c r="D13" s="4">
        <f t="shared" si="0"/>
        <v>109113</v>
      </c>
    </row>
    <row r="14" spans="1:4" x14ac:dyDescent="0.35">
      <c r="A14" s="2" t="s">
        <v>13</v>
      </c>
      <c r="B14" s="4">
        <v>45089</v>
      </c>
      <c r="C14" s="4">
        <v>50074</v>
      </c>
      <c r="D14" s="4">
        <f t="shared" si="0"/>
        <v>95163</v>
      </c>
    </row>
    <row r="15" spans="1:4" x14ac:dyDescent="0.35">
      <c r="A15" s="2" t="s">
        <v>14</v>
      </c>
      <c r="B15" s="4">
        <v>36590</v>
      </c>
      <c r="C15" s="4">
        <v>40450</v>
      </c>
      <c r="D15" s="4">
        <f t="shared" si="0"/>
        <v>77040</v>
      </c>
    </row>
    <row r="16" spans="1:4" x14ac:dyDescent="0.35">
      <c r="A16" s="2" t="s">
        <v>15</v>
      </c>
      <c r="B16" s="4">
        <v>26271</v>
      </c>
      <c r="C16" s="4">
        <v>30137</v>
      </c>
      <c r="D16" s="4">
        <f t="shared" si="0"/>
        <v>56408</v>
      </c>
    </row>
    <row r="17" spans="1:4" x14ac:dyDescent="0.35">
      <c r="A17" s="2" t="s">
        <v>16</v>
      </c>
      <c r="B17" s="4">
        <v>13534</v>
      </c>
      <c r="C17" s="4">
        <v>16252</v>
      </c>
      <c r="D17" s="4">
        <f t="shared" si="0"/>
        <v>29786</v>
      </c>
    </row>
    <row r="18" spans="1:4" x14ac:dyDescent="0.35">
      <c r="A18" s="2" t="s">
        <v>17</v>
      </c>
      <c r="B18" s="4">
        <v>11019</v>
      </c>
      <c r="C18" s="4">
        <v>18044</v>
      </c>
      <c r="D18" s="4">
        <f t="shared" si="0"/>
        <v>29063</v>
      </c>
    </row>
    <row r="19" spans="1:4" x14ac:dyDescent="0.35">
      <c r="A19" s="6" t="s">
        <v>0</v>
      </c>
      <c r="B19" s="5">
        <f>SUM(B3:B18)</f>
        <v>821305</v>
      </c>
      <c r="C19" s="5">
        <f>SUM(C3:C18)</f>
        <v>838670</v>
      </c>
      <c r="D19" s="5">
        <f>SUM(D3:D18)</f>
        <v>1659975</v>
      </c>
    </row>
    <row r="20" spans="1:4" x14ac:dyDescent="0.35">
      <c r="A20" s="23" t="s">
        <v>27</v>
      </c>
    </row>
  </sheetData>
  <mergeCells count="1">
    <mergeCell ref="A1:D1"/>
  </mergeCells>
  <pageMargins left="0.7" right="0.7" top="0.75" bottom="0.75" header="0.3" footer="0.3"/>
  <ignoredErrors>
    <ignoredError sqref="A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0"/>
  <sheetViews>
    <sheetView topLeftCell="A4" workbookViewId="0">
      <selection activeCell="A21" sqref="A21"/>
    </sheetView>
  </sheetViews>
  <sheetFormatPr defaultRowHeight="14.5" x14ac:dyDescent="0.35"/>
  <cols>
    <col min="1" max="1" width="15.7265625" bestFit="1" customWidth="1"/>
    <col min="2" max="4" width="10.6328125" customWidth="1"/>
  </cols>
  <sheetData>
    <row r="1" spans="1:16" ht="32" customHeight="1" x14ac:dyDescent="0.35">
      <c r="A1" s="20" t="s">
        <v>1</v>
      </c>
      <c r="B1" s="21"/>
      <c r="C1" s="21"/>
      <c r="D1" s="22"/>
    </row>
    <row r="2" spans="1:16" x14ac:dyDescent="0.35">
      <c r="A2" s="3" t="s">
        <v>24</v>
      </c>
      <c r="B2" s="3" t="s">
        <v>18</v>
      </c>
      <c r="C2" s="3" t="s">
        <v>19</v>
      </c>
      <c r="D2" s="3" t="s">
        <v>20</v>
      </c>
    </row>
    <row r="3" spans="1:16" x14ac:dyDescent="0.35">
      <c r="A3" s="2" t="s">
        <v>2</v>
      </c>
      <c r="B3" s="9">
        <v>58.28</v>
      </c>
      <c r="C3" s="9">
        <v>55.86</v>
      </c>
      <c r="D3" s="9">
        <f>B3+C3</f>
        <v>114.14</v>
      </c>
      <c r="F3" s="11" t="s">
        <v>21</v>
      </c>
      <c r="G3" s="12" t="s">
        <v>22</v>
      </c>
      <c r="H3" s="12"/>
      <c r="I3" s="12"/>
      <c r="J3" s="12"/>
      <c r="K3" s="12"/>
      <c r="L3" s="12"/>
      <c r="M3" s="12"/>
      <c r="N3" s="12"/>
      <c r="O3" s="12"/>
      <c r="P3" s="13"/>
    </row>
    <row r="4" spans="1:16" x14ac:dyDescent="0.35">
      <c r="A4" s="7" t="s">
        <v>3</v>
      </c>
      <c r="B4" s="9">
        <v>61.67</v>
      </c>
      <c r="C4" s="9">
        <v>58.66</v>
      </c>
      <c r="D4" s="9">
        <f t="shared" ref="D4:D18" si="0">B4+C4</f>
        <v>120.33</v>
      </c>
      <c r="F4" s="14"/>
      <c r="G4" s="15" t="s">
        <v>23</v>
      </c>
      <c r="H4" s="15"/>
      <c r="I4" s="15"/>
      <c r="J4" s="15"/>
      <c r="K4" s="15"/>
      <c r="L4" s="15"/>
      <c r="M4" s="15"/>
      <c r="N4" s="15"/>
      <c r="O4" s="15"/>
      <c r="P4" s="16"/>
    </row>
    <row r="5" spans="1:16" x14ac:dyDescent="0.35">
      <c r="A5" s="8" t="s">
        <v>4</v>
      </c>
      <c r="B5" s="9">
        <v>64.069999999999993</v>
      </c>
      <c r="C5" s="9">
        <v>60.59</v>
      </c>
      <c r="D5" s="9">
        <f t="shared" si="0"/>
        <v>124.66</v>
      </c>
      <c r="F5" s="17"/>
      <c r="G5" s="18" t="s">
        <v>25</v>
      </c>
      <c r="H5" s="18"/>
      <c r="I5" s="18"/>
      <c r="J5" s="18"/>
      <c r="K5" s="18"/>
      <c r="L5" s="18"/>
      <c r="M5" s="18"/>
      <c r="N5" s="18"/>
      <c r="O5" s="18"/>
      <c r="P5" s="19"/>
    </row>
    <row r="6" spans="1:16" x14ac:dyDescent="0.35">
      <c r="A6" s="8" t="s">
        <v>5</v>
      </c>
      <c r="B6" s="9">
        <v>66.36</v>
      </c>
      <c r="C6" s="9">
        <v>62.6</v>
      </c>
      <c r="D6" s="9">
        <f t="shared" si="0"/>
        <v>128.96</v>
      </c>
    </row>
    <row r="7" spans="1:16" x14ac:dyDescent="0.35">
      <c r="A7" s="8" t="s">
        <v>6</v>
      </c>
      <c r="B7" s="9">
        <v>66.33</v>
      </c>
      <c r="C7" s="9">
        <v>63.13</v>
      </c>
      <c r="D7" s="9">
        <f t="shared" si="0"/>
        <v>129.46</v>
      </c>
    </row>
    <row r="8" spans="1:16" x14ac:dyDescent="0.35">
      <c r="A8" s="8" t="s">
        <v>7</v>
      </c>
      <c r="B8" s="9">
        <v>64.290000000000006</v>
      </c>
      <c r="C8" s="9">
        <v>63.34</v>
      </c>
      <c r="D8" s="9">
        <f t="shared" si="0"/>
        <v>127.63000000000001</v>
      </c>
    </row>
    <row r="9" spans="1:16" x14ac:dyDescent="0.35">
      <c r="A9" s="8" t="s">
        <v>8</v>
      </c>
      <c r="B9" s="9">
        <v>65.09</v>
      </c>
      <c r="C9" s="9">
        <v>65.77</v>
      </c>
      <c r="D9" s="9">
        <f t="shared" si="0"/>
        <v>130.86000000000001</v>
      </c>
    </row>
    <row r="10" spans="1:16" x14ac:dyDescent="0.35">
      <c r="A10" s="8" t="s">
        <v>9</v>
      </c>
      <c r="B10" s="9">
        <v>66.06</v>
      </c>
      <c r="C10" s="9">
        <v>67.25</v>
      </c>
      <c r="D10" s="9">
        <f t="shared" si="0"/>
        <v>133.31</v>
      </c>
    </row>
    <row r="11" spans="1:16" x14ac:dyDescent="0.35">
      <c r="A11" s="2" t="s">
        <v>10</v>
      </c>
      <c r="B11" s="9">
        <v>66.63</v>
      </c>
      <c r="C11" s="9">
        <v>68.569999999999993</v>
      </c>
      <c r="D11" s="9">
        <f t="shared" si="0"/>
        <v>135.19999999999999</v>
      </c>
    </row>
    <row r="12" spans="1:16" x14ac:dyDescent="0.35">
      <c r="A12" s="2" t="s">
        <v>11</v>
      </c>
      <c r="B12" s="9">
        <v>62.77</v>
      </c>
      <c r="C12" s="9">
        <v>65.73</v>
      </c>
      <c r="D12" s="9">
        <f t="shared" si="0"/>
        <v>128.5</v>
      </c>
    </row>
    <row r="13" spans="1:16" x14ac:dyDescent="0.35">
      <c r="A13" s="2" t="s">
        <v>12</v>
      </c>
      <c r="B13" s="9">
        <v>54.66</v>
      </c>
      <c r="C13" s="9">
        <v>58.68</v>
      </c>
      <c r="D13" s="9">
        <f t="shared" si="0"/>
        <v>113.34</v>
      </c>
    </row>
    <row r="14" spans="1:16" x14ac:dyDescent="0.35">
      <c r="A14" s="2" t="s">
        <v>13</v>
      </c>
      <c r="B14" s="9">
        <v>46.88</v>
      </c>
      <c r="C14" s="9">
        <v>51.97</v>
      </c>
      <c r="D14" s="9">
        <f t="shared" si="0"/>
        <v>98.85</v>
      </c>
    </row>
    <row r="15" spans="1:16" x14ac:dyDescent="0.35">
      <c r="A15" s="2" t="s">
        <v>14</v>
      </c>
      <c r="B15" s="9">
        <v>38.22</v>
      </c>
      <c r="C15" s="9">
        <v>42.92</v>
      </c>
      <c r="D15" s="9">
        <f t="shared" si="0"/>
        <v>81.14</v>
      </c>
    </row>
    <row r="16" spans="1:16" x14ac:dyDescent="0.35">
      <c r="A16" s="2" t="s">
        <v>15</v>
      </c>
      <c r="B16" s="9">
        <v>28.67</v>
      </c>
      <c r="C16" s="9">
        <v>32.67</v>
      </c>
      <c r="D16" s="9">
        <f t="shared" si="0"/>
        <v>61.34</v>
      </c>
    </row>
    <row r="17" spans="1:4" x14ac:dyDescent="0.35">
      <c r="A17" s="2" t="s">
        <v>16</v>
      </c>
      <c r="B17" s="9">
        <v>17.02</v>
      </c>
      <c r="C17" s="9">
        <v>20.6</v>
      </c>
      <c r="D17" s="9">
        <f t="shared" si="0"/>
        <v>37.620000000000005</v>
      </c>
    </row>
    <row r="18" spans="1:4" x14ac:dyDescent="0.35">
      <c r="A18" s="2" t="s">
        <v>17</v>
      </c>
      <c r="B18" s="9">
        <v>11.45</v>
      </c>
      <c r="C18" s="9">
        <v>17.989999999999998</v>
      </c>
      <c r="D18" s="9">
        <f t="shared" si="0"/>
        <v>29.439999999999998</v>
      </c>
    </row>
    <row r="19" spans="1:4" x14ac:dyDescent="0.35">
      <c r="A19" s="6" t="s">
        <v>0</v>
      </c>
      <c r="B19" s="10">
        <f>SUM(B3:B18)</f>
        <v>838.45</v>
      </c>
      <c r="C19" s="10">
        <f>SUM(C3:C18)</f>
        <v>856.32999999999993</v>
      </c>
      <c r="D19" s="10">
        <f>SUM(D3:D18)</f>
        <v>1694.7800000000002</v>
      </c>
    </row>
    <row r="20" spans="1:4" x14ac:dyDescent="0.35">
      <c r="A20" s="23" t="s">
        <v>28</v>
      </c>
    </row>
  </sheetData>
  <mergeCells count="1">
    <mergeCell ref="A1:D1"/>
  </mergeCells>
  <pageMargins left="0.7" right="0.7" top="0.75" bottom="0.75" header="0.3" footer="0.3"/>
  <pageSetup orientation="portrait" r:id="rId1"/>
  <ignoredErrors>
    <ignoredError sqref="A5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8" workbookViewId="0">
      <selection activeCell="A21" sqref="A21"/>
    </sheetView>
  </sheetViews>
  <sheetFormatPr defaultRowHeight="14.5" x14ac:dyDescent="0.35"/>
  <cols>
    <col min="1" max="1" width="15.7265625" bestFit="1" customWidth="1"/>
    <col min="2" max="2" width="10.6328125" customWidth="1"/>
    <col min="3" max="3" width="10.54296875" customWidth="1"/>
    <col min="4" max="4" width="10.6328125" customWidth="1"/>
  </cols>
  <sheetData>
    <row r="1" spans="1:4" ht="32" customHeight="1" x14ac:dyDescent="0.35">
      <c r="A1" s="20" t="s">
        <v>1</v>
      </c>
      <c r="B1" s="21"/>
      <c r="C1" s="21"/>
      <c r="D1" s="22"/>
    </row>
    <row r="2" spans="1:4" x14ac:dyDescent="0.35">
      <c r="A2" s="3" t="s">
        <v>24</v>
      </c>
      <c r="B2" s="3" t="s">
        <v>18</v>
      </c>
      <c r="C2" s="3" t="s">
        <v>19</v>
      </c>
      <c r="D2" s="3" t="s">
        <v>20</v>
      </c>
    </row>
    <row r="3" spans="1:4" x14ac:dyDescent="0.35">
      <c r="A3" s="2" t="s">
        <v>2</v>
      </c>
      <c r="B3" s="4">
        <v>57967</v>
      </c>
      <c r="C3" s="4">
        <v>55667</v>
      </c>
      <c r="D3" s="4">
        <f>B3+C3</f>
        <v>113634</v>
      </c>
    </row>
    <row r="4" spans="1:4" x14ac:dyDescent="0.35">
      <c r="A4" s="7" t="s">
        <v>3</v>
      </c>
      <c r="B4" s="4">
        <v>61120</v>
      </c>
      <c r="C4" s="4">
        <v>58045</v>
      </c>
      <c r="D4" s="4">
        <f t="shared" ref="D4:D18" si="0">B4+C4</f>
        <v>119165</v>
      </c>
    </row>
    <row r="5" spans="1:4" x14ac:dyDescent="0.35">
      <c r="A5" s="8" t="s">
        <v>4</v>
      </c>
      <c r="B5" s="4">
        <v>63672</v>
      </c>
      <c r="C5" s="4">
        <v>60287</v>
      </c>
      <c r="D5" s="4">
        <f t="shared" si="0"/>
        <v>123959</v>
      </c>
    </row>
    <row r="6" spans="1:4" x14ac:dyDescent="0.35">
      <c r="A6" s="8" t="s">
        <v>5</v>
      </c>
      <c r="B6" s="4">
        <v>65890</v>
      </c>
      <c r="C6" s="4">
        <v>62137</v>
      </c>
      <c r="D6" s="4">
        <f t="shared" si="0"/>
        <v>128027</v>
      </c>
    </row>
    <row r="7" spans="1:4" x14ac:dyDescent="0.35">
      <c r="A7" s="8" t="s">
        <v>6</v>
      </c>
      <c r="B7" s="4">
        <v>66726</v>
      </c>
      <c r="C7" s="4">
        <v>63426</v>
      </c>
      <c r="D7" s="4">
        <f t="shared" si="0"/>
        <v>130152</v>
      </c>
    </row>
    <row r="8" spans="1:4" x14ac:dyDescent="0.35">
      <c r="A8" s="8" t="s">
        <v>7</v>
      </c>
      <c r="B8" s="4">
        <v>64245</v>
      </c>
      <c r="C8" s="4">
        <v>62935</v>
      </c>
      <c r="D8" s="4">
        <f t="shared" si="0"/>
        <v>127180</v>
      </c>
    </row>
    <row r="9" spans="1:4" x14ac:dyDescent="0.35">
      <c r="A9" s="8" t="s">
        <v>8</v>
      </c>
      <c r="B9" s="4">
        <v>64864</v>
      </c>
      <c r="C9" s="4">
        <v>65434</v>
      </c>
      <c r="D9" s="4">
        <f t="shared" si="0"/>
        <v>130298</v>
      </c>
    </row>
    <row r="10" spans="1:4" x14ac:dyDescent="0.35">
      <c r="A10" s="8" t="s">
        <v>9</v>
      </c>
      <c r="B10" s="4">
        <v>65815</v>
      </c>
      <c r="C10" s="4">
        <v>66913</v>
      </c>
      <c r="D10" s="4">
        <f t="shared" si="0"/>
        <v>132728</v>
      </c>
    </row>
    <row r="11" spans="1:4" x14ac:dyDescent="0.35">
      <c r="A11" s="2" t="s">
        <v>10</v>
      </c>
      <c r="B11" s="4">
        <v>66510</v>
      </c>
      <c r="C11" s="4">
        <v>68283</v>
      </c>
      <c r="D11" s="4">
        <f t="shared" si="0"/>
        <v>134793</v>
      </c>
    </row>
    <row r="12" spans="1:4" x14ac:dyDescent="0.35">
      <c r="A12" s="2" t="s">
        <v>11</v>
      </c>
      <c r="B12" s="4">
        <v>64015</v>
      </c>
      <c r="C12" s="4">
        <v>66896</v>
      </c>
      <c r="D12" s="4">
        <f t="shared" si="0"/>
        <v>130911</v>
      </c>
    </row>
    <row r="13" spans="1:4" x14ac:dyDescent="0.35">
      <c r="A13" s="2" t="s">
        <v>12</v>
      </c>
      <c r="B13" s="4">
        <v>55857</v>
      </c>
      <c r="C13" s="4">
        <v>59760</v>
      </c>
      <c r="D13" s="4">
        <f t="shared" si="0"/>
        <v>115617</v>
      </c>
    </row>
    <row r="14" spans="1:4" x14ac:dyDescent="0.35">
      <c r="A14" s="2" t="s">
        <v>13</v>
      </c>
      <c r="B14" s="4">
        <v>48110</v>
      </c>
      <c r="C14" s="4">
        <v>53216</v>
      </c>
      <c r="D14" s="4">
        <f t="shared" si="0"/>
        <v>101326</v>
      </c>
    </row>
    <row r="15" spans="1:4" x14ac:dyDescent="0.35">
      <c r="A15" s="2" t="s">
        <v>14</v>
      </c>
      <c r="B15" s="4">
        <v>39315</v>
      </c>
      <c r="C15" s="4">
        <v>44545</v>
      </c>
      <c r="D15" s="4">
        <f t="shared" si="0"/>
        <v>83860</v>
      </c>
    </row>
    <row r="16" spans="1:4" x14ac:dyDescent="0.35">
      <c r="A16" s="2" t="s">
        <v>15</v>
      </c>
      <c r="B16" s="4">
        <v>29897</v>
      </c>
      <c r="C16" s="4">
        <v>34122</v>
      </c>
      <c r="D16" s="4">
        <f t="shared" si="0"/>
        <v>64019</v>
      </c>
    </row>
    <row r="17" spans="1:4" x14ac:dyDescent="0.35">
      <c r="A17" s="2" t="s">
        <v>16</v>
      </c>
      <c r="B17" s="4">
        <v>18681</v>
      </c>
      <c r="C17" s="4">
        <v>22742</v>
      </c>
      <c r="D17" s="4">
        <f t="shared" si="0"/>
        <v>41423</v>
      </c>
    </row>
    <row r="18" spans="1:4" x14ac:dyDescent="0.35">
      <c r="A18" s="2" t="s">
        <v>17</v>
      </c>
      <c r="B18" s="4">
        <v>12493</v>
      </c>
      <c r="C18" s="4">
        <v>19248</v>
      </c>
      <c r="D18" s="4">
        <f t="shared" si="0"/>
        <v>31741</v>
      </c>
    </row>
    <row r="19" spans="1:4" x14ac:dyDescent="0.35">
      <c r="A19" s="6" t="s">
        <v>0</v>
      </c>
      <c r="B19" s="5">
        <f>SUM(B3:B18)</f>
        <v>845177</v>
      </c>
      <c r="C19" s="5">
        <f>SUM(C3:C18)</f>
        <v>863656</v>
      </c>
      <c r="D19" s="5">
        <f>SUM(D3:D18)</f>
        <v>1708833</v>
      </c>
    </row>
    <row r="20" spans="1:4" x14ac:dyDescent="0.35">
      <c r="A20" s="23" t="s">
        <v>28</v>
      </c>
    </row>
  </sheetData>
  <mergeCells count="1">
    <mergeCell ref="A1:D1"/>
  </mergeCells>
  <pageMargins left="0.7" right="0.7" top="0.75" bottom="0.75" header="0.3" footer="0.3"/>
  <ignoredErrors>
    <ignoredError sqref="A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2025-04-11T01:28:31Z</dcterms:created>
  <dcterms:modified xsi:type="dcterms:W3CDTF">2025-04-11T07:20:21Z</dcterms:modified>
</cp:coreProperties>
</file>