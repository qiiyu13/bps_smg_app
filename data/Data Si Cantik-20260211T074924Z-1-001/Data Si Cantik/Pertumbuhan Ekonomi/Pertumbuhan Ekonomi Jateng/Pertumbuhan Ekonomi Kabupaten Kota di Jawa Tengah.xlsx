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umbuhan Ekonomi\"/>
    </mc:Choice>
  </mc:AlternateContent>
  <bookViews>
    <workbookView xWindow="0" yWindow="0" windowWidth="19200" windowHeight="6610" activeTab="1"/>
  </bookViews>
  <sheets>
    <sheet name="Sheet6" sheetId="6" r:id="rId1"/>
    <sheet name="2020" sheetId="1" r:id="rId2"/>
    <sheet name="2021" sheetId="2" r:id="rId3"/>
    <sheet name="2022" sheetId="3" r:id="rId4"/>
    <sheet name="2023" sheetId="4" r:id="rId5"/>
    <sheet name="2024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" i="1"/>
  <c r="C37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" i="3"/>
  <c r="D3" i="2"/>
  <c r="D3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C38" i="5"/>
  <c r="C38" i="4"/>
  <c r="C38" i="3"/>
  <c r="C38" i="2"/>
  <c r="C38" i="1"/>
</calcChain>
</file>

<file path=xl/sharedStrings.xml><?xml version="1.0" encoding="utf-8"?>
<sst xmlns="http://schemas.openxmlformats.org/spreadsheetml/2006/main" count="244" uniqueCount="41">
  <si>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</si>
  <si>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</si>
  <si>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</si>
  <si>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</si>
  <si>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</si>
  <si>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</si>
  <si>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</si>
  <si>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</si>
  <si>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</si>
  <si>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</si>
  <si>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</si>
  <si>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</si>
  <si>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</si>
  <si>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</si>
  <si>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</si>
  <si>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</si>
  <si>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</si>
  <si>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</si>
  <si>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</si>
  <si>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</si>
  <si>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</si>
  <si>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</si>
  <si>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</si>
  <si>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</si>
  <si>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</si>
  <si>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</si>
  <si>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</si>
  <si>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</si>
  <si>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</si>
  <si>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</si>
  <si>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</si>
  <si>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</si>
  <si>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</si>
  <si>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</si>
  <si>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</si>
  <si>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</si>
  <si>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</si>
  <si>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</si>
  <si>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PDRB ADHK</t>
  </si>
  <si>
    <t>Pertumbuhan Ekonomi</t>
  </si>
  <si>
    <t>PDRB Atas Dasar Harga Konstan (Milyar Rupiah) dan Pertumbuhan Ekonomi (Persen) Kabupaten/Kota di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</si>
</sst>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D21" sqref="D21"/>
    </sheetView>
  </sheetViews>
  <sheetFormatPr defaultRowHeight="14.5" x14ac:dyDescent="0.35"/>
  <cols>
    <col min="2" max="2" width="21.6328125" bestFit="1" customWidth="1"/>
    <col min="3" max="3" width="10.6328125" bestFit="1" customWidth="1"/>
  </cols>
  <sheetData>
    <row r="1" spans="1:3" x14ac:dyDescent="0.35">
      <c r="A1" s="2" t="s">
        <v>0</v>
      </c>
      <c r="B1" s="3" t="s">
        <v>1</v>
      </c>
      <c r="C1" s="3" t="s">
        <v>38</v>
      </c>
    </row>
    <row r="2" spans="1:3" x14ac:dyDescent="0.35">
      <c r="A2" s="4">
        <v>1</v>
      </c>
      <c r="B2" s="5" t="s">
        <v>2</v>
      </c>
      <c r="C2" s="8">
        <v>100327.3</v>
      </c>
    </row>
    <row r="3" spans="1:3" x14ac:dyDescent="0.35">
      <c r="A3" s="4">
        <v>2</v>
      </c>
      <c r="B3" s="5" t="s">
        <v>3</v>
      </c>
      <c r="C3" s="8">
        <v>39779.32</v>
      </c>
    </row>
    <row r="4" spans="1:3" x14ac:dyDescent="0.35">
      <c r="A4" s="4">
        <v>3</v>
      </c>
      <c r="B4" s="5" t="s">
        <v>4</v>
      </c>
      <c r="C4" s="8">
        <v>17387.61</v>
      </c>
    </row>
    <row r="5" spans="1:3" x14ac:dyDescent="0.35">
      <c r="A5" s="4">
        <v>4</v>
      </c>
      <c r="B5" s="5" t="s">
        <v>5</v>
      </c>
      <c r="C5" s="8">
        <v>15246.87</v>
      </c>
    </row>
    <row r="6" spans="1:3" x14ac:dyDescent="0.35">
      <c r="A6" s="4">
        <v>5</v>
      </c>
      <c r="B6" s="5" t="s">
        <v>6</v>
      </c>
      <c r="C6" s="8">
        <v>19815.060000000001</v>
      </c>
    </row>
    <row r="7" spans="1:3" x14ac:dyDescent="0.35">
      <c r="A7" s="4">
        <v>6</v>
      </c>
      <c r="B7" s="5" t="s">
        <v>7</v>
      </c>
      <c r="C7" s="8">
        <v>13353.34</v>
      </c>
    </row>
    <row r="8" spans="1:3" x14ac:dyDescent="0.35">
      <c r="A8" s="4">
        <v>7</v>
      </c>
      <c r="B8" s="5" t="s">
        <v>8</v>
      </c>
      <c r="C8" s="8">
        <v>13793.04</v>
      </c>
    </row>
    <row r="9" spans="1:3" x14ac:dyDescent="0.35">
      <c r="A9" s="4">
        <v>8</v>
      </c>
      <c r="B9" s="5" t="s">
        <v>9</v>
      </c>
      <c r="C9" s="8">
        <v>23253.15</v>
      </c>
    </row>
    <row r="10" spans="1:3" x14ac:dyDescent="0.35">
      <c r="A10" s="4">
        <v>9</v>
      </c>
      <c r="B10" s="5" t="s">
        <v>10</v>
      </c>
      <c r="C10" s="8">
        <v>22681.1</v>
      </c>
    </row>
    <row r="11" spans="1:3" x14ac:dyDescent="0.35">
      <c r="A11" s="4">
        <v>10</v>
      </c>
      <c r="B11" s="5" t="s">
        <v>11</v>
      </c>
      <c r="C11" s="8">
        <v>27805.99</v>
      </c>
    </row>
    <row r="12" spans="1:3" x14ac:dyDescent="0.35">
      <c r="A12" s="4">
        <v>11</v>
      </c>
      <c r="B12" s="5" t="s">
        <v>12</v>
      </c>
      <c r="C12" s="8">
        <v>27076.44</v>
      </c>
    </row>
    <row r="13" spans="1:3" x14ac:dyDescent="0.35">
      <c r="A13" s="4">
        <v>12</v>
      </c>
      <c r="B13" s="5" t="s">
        <v>13</v>
      </c>
      <c r="C13" s="8">
        <v>20856.21</v>
      </c>
    </row>
    <row r="14" spans="1:3" x14ac:dyDescent="0.35">
      <c r="A14" s="4">
        <v>13</v>
      </c>
      <c r="B14" s="5" t="s">
        <v>14</v>
      </c>
      <c r="C14" s="8">
        <v>26599.74</v>
      </c>
    </row>
    <row r="15" spans="1:3" x14ac:dyDescent="0.35">
      <c r="A15" s="4">
        <v>14</v>
      </c>
      <c r="B15" s="5" t="s">
        <v>15</v>
      </c>
      <c r="C15" s="8">
        <v>26853.06</v>
      </c>
    </row>
    <row r="16" spans="1:3" x14ac:dyDescent="0.35">
      <c r="A16" s="4">
        <v>15</v>
      </c>
      <c r="B16" s="5" t="s">
        <v>16</v>
      </c>
      <c r="C16" s="8">
        <v>19692.63</v>
      </c>
    </row>
    <row r="17" spans="1:3" x14ac:dyDescent="0.35">
      <c r="A17" s="4">
        <v>16</v>
      </c>
      <c r="B17" s="5" t="s">
        <v>17</v>
      </c>
      <c r="C17" s="8">
        <v>18318.419999999998</v>
      </c>
    </row>
    <row r="18" spans="1:3" x14ac:dyDescent="0.35">
      <c r="A18" s="4">
        <v>17</v>
      </c>
      <c r="B18" s="5" t="s">
        <v>18</v>
      </c>
      <c r="C18" s="8">
        <v>13612.34</v>
      </c>
    </row>
    <row r="19" spans="1:3" x14ac:dyDescent="0.35">
      <c r="A19" s="4">
        <v>18</v>
      </c>
      <c r="B19" s="5" t="s">
        <v>19</v>
      </c>
      <c r="C19" s="8">
        <v>30885.38</v>
      </c>
    </row>
    <row r="20" spans="1:3" x14ac:dyDescent="0.35">
      <c r="A20" s="4">
        <v>19</v>
      </c>
      <c r="B20" s="5" t="s">
        <v>20</v>
      </c>
      <c r="C20" s="8">
        <v>73241.78</v>
      </c>
    </row>
    <row r="21" spans="1:3" x14ac:dyDescent="0.35">
      <c r="A21" s="4">
        <v>20</v>
      </c>
      <c r="B21" s="5" t="s">
        <v>21</v>
      </c>
      <c r="C21" s="8">
        <v>21384.28</v>
      </c>
    </row>
    <row r="22" spans="1:3" x14ac:dyDescent="0.35">
      <c r="A22" s="4">
        <v>21</v>
      </c>
      <c r="B22" s="5" t="s">
        <v>22</v>
      </c>
      <c r="C22" s="8">
        <v>18417.009999999998</v>
      </c>
    </row>
    <row r="23" spans="1:3" x14ac:dyDescent="0.35">
      <c r="A23" s="4">
        <v>22</v>
      </c>
      <c r="B23" s="5" t="s">
        <v>23</v>
      </c>
      <c r="C23" s="8">
        <v>35638.959999999999</v>
      </c>
    </row>
    <row r="24" spans="1:3" x14ac:dyDescent="0.35">
      <c r="A24" s="4">
        <v>23</v>
      </c>
      <c r="B24" s="5" t="s">
        <v>24</v>
      </c>
      <c r="C24" s="8">
        <v>15214.06</v>
      </c>
    </row>
    <row r="25" spans="1:3" x14ac:dyDescent="0.35">
      <c r="A25" s="4">
        <v>24</v>
      </c>
      <c r="B25" s="5" t="s">
        <v>25</v>
      </c>
      <c r="C25" s="8">
        <v>30916.39</v>
      </c>
    </row>
    <row r="26" spans="1:3" x14ac:dyDescent="0.35">
      <c r="A26" s="4">
        <v>25</v>
      </c>
      <c r="B26" s="5" t="s">
        <v>26</v>
      </c>
      <c r="C26" s="8">
        <v>15226.79</v>
      </c>
    </row>
    <row r="27" spans="1:3" x14ac:dyDescent="0.35">
      <c r="A27" s="4">
        <v>26</v>
      </c>
      <c r="B27" s="5" t="s">
        <v>27</v>
      </c>
      <c r="C27" s="8">
        <v>16356.35</v>
      </c>
    </row>
    <row r="28" spans="1:3" x14ac:dyDescent="0.35">
      <c r="A28" s="4">
        <v>27</v>
      </c>
      <c r="B28" s="5" t="s">
        <v>28</v>
      </c>
      <c r="C28" s="8">
        <v>18267.2</v>
      </c>
    </row>
    <row r="29" spans="1:3" x14ac:dyDescent="0.35">
      <c r="A29" s="4">
        <v>28</v>
      </c>
      <c r="B29" s="5" t="s">
        <v>29</v>
      </c>
      <c r="C29" s="8">
        <v>24861.5</v>
      </c>
    </row>
    <row r="30" spans="1:3" x14ac:dyDescent="0.35">
      <c r="A30" s="4">
        <v>29</v>
      </c>
      <c r="B30" s="5" t="s">
        <v>30</v>
      </c>
      <c r="C30" s="8">
        <v>32847.86</v>
      </c>
    </row>
    <row r="31" spans="1:3" x14ac:dyDescent="0.35">
      <c r="A31" s="4">
        <v>30</v>
      </c>
      <c r="B31" s="5" t="s">
        <v>31</v>
      </c>
      <c r="C31" s="8">
        <v>6470.54</v>
      </c>
    </row>
    <row r="32" spans="1:3" x14ac:dyDescent="0.35">
      <c r="A32" s="4">
        <v>31</v>
      </c>
      <c r="B32" s="5" t="s">
        <v>32</v>
      </c>
      <c r="C32" s="8">
        <v>35441.11</v>
      </c>
    </row>
    <row r="33" spans="1:3" x14ac:dyDescent="0.35">
      <c r="A33" s="4">
        <v>32</v>
      </c>
      <c r="B33" s="5" t="s">
        <v>33</v>
      </c>
      <c r="C33" s="8">
        <v>9666.4500000000007</v>
      </c>
    </row>
    <row r="34" spans="1:3" x14ac:dyDescent="0.35">
      <c r="A34" s="4">
        <v>33</v>
      </c>
      <c r="B34" s="5" t="s">
        <v>34</v>
      </c>
      <c r="C34" s="8">
        <v>140199.51999999999</v>
      </c>
    </row>
    <row r="35" spans="1:3" x14ac:dyDescent="0.35">
      <c r="A35" s="4">
        <v>34</v>
      </c>
      <c r="B35" s="5" t="s">
        <v>35</v>
      </c>
      <c r="C35" s="8">
        <v>7477.43</v>
      </c>
    </row>
    <row r="36" spans="1:3" x14ac:dyDescent="0.35">
      <c r="A36" s="4">
        <v>35</v>
      </c>
      <c r="B36" s="5" t="s">
        <v>36</v>
      </c>
      <c r="C36" s="8">
        <v>11205.78</v>
      </c>
    </row>
    <row r="37" spans="1:3" x14ac:dyDescent="0.35">
      <c r="A37" s="6" t="s">
        <v>37</v>
      </c>
      <c r="B37" s="6"/>
      <c r="C37" s="9">
        <f>SUM(C2:C36)</f>
        <v>990170.01000000013</v>
      </c>
    </row>
  </sheetData>
  <mergeCells count="1"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sqref="A1:D1"/>
    </sheetView>
  </sheetViews>
  <sheetFormatPr defaultRowHeight="14.5" x14ac:dyDescent="0.35"/>
  <cols>
    <col min="2" max="2" width="21.6328125" bestFit="1" customWidth="1"/>
    <col min="3" max="4" width="13.6328125" customWidth="1"/>
  </cols>
  <sheetData>
    <row r="1" spans="1:4" ht="35" customHeight="1" x14ac:dyDescent="0.35">
      <c r="A1" s="1" t="s">
        <v>40</v>
      </c>
      <c r="B1" s="1"/>
      <c r="C1" s="1"/>
      <c r="D1" s="1"/>
    </row>
    <row r="2" spans="1:4" ht="29" x14ac:dyDescent="0.35">
      <c r="A2" s="2" t="s">
        <v>0</v>
      </c>
      <c r="B2" s="3" t="s">
        <v>1</v>
      </c>
      <c r="C2" s="3" t="s">
        <v>38</v>
      </c>
      <c r="D2" s="7" t="s">
        <v>39</v>
      </c>
    </row>
    <row r="3" spans="1:4" x14ac:dyDescent="0.35">
      <c r="A3" s="4">
        <v>1</v>
      </c>
      <c r="B3" s="5" t="s">
        <v>2</v>
      </c>
      <c r="C3" s="8">
        <v>90011.58</v>
      </c>
      <c r="D3" s="8">
        <f>((C3-Sheet6!C2)/Sheet6!C2)*100</f>
        <v>-10.282066795378727</v>
      </c>
    </row>
    <row r="4" spans="1:4" x14ac:dyDescent="0.35">
      <c r="A4" s="4">
        <v>2</v>
      </c>
      <c r="B4" s="5" t="s">
        <v>3</v>
      </c>
      <c r="C4" s="8">
        <v>39121.620000000003</v>
      </c>
      <c r="D4" s="8">
        <f>((C4-Sheet6!C3)/Sheet6!C3)*100</f>
        <v>-1.6533716514007708</v>
      </c>
    </row>
    <row r="5" spans="1:4" x14ac:dyDescent="0.35">
      <c r="A5" s="4">
        <v>3</v>
      </c>
      <c r="B5" s="5" t="s">
        <v>4</v>
      </c>
      <c r="C5" s="8">
        <v>17182.87</v>
      </c>
      <c r="D5" s="8">
        <f>((C5-Sheet6!C4)/Sheet6!C4)*100</f>
        <v>-1.177505131527574</v>
      </c>
    </row>
    <row r="6" spans="1:4" x14ac:dyDescent="0.35">
      <c r="A6" s="4">
        <v>4</v>
      </c>
      <c r="B6" s="5" t="s">
        <v>5</v>
      </c>
      <c r="C6" s="8">
        <v>15045.88</v>
      </c>
      <c r="D6" s="8">
        <f>((C6-Sheet6!C5)/Sheet6!C5)*100</f>
        <v>-1.318237776015678</v>
      </c>
    </row>
    <row r="7" spans="1:4" x14ac:dyDescent="0.35">
      <c r="A7" s="4">
        <v>5</v>
      </c>
      <c r="B7" s="5" t="s">
        <v>6</v>
      </c>
      <c r="C7" s="8">
        <v>19527.66</v>
      </c>
      <c r="D7" s="8">
        <f>((C7-Sheet6!C6)/Sheet6!C6)*100</f>
        <v>-1.4504119593884723</v>
      </c>
    </row>
    <row r="8" spans="1:4" x14ac:dyDescent="0.35">
      <c r="A8" s="4">
        <v>6</v>
      </c>
      <c r="B8" s="5" t="s">
        <v>7</v>
      </c>
      <c r="C8" s="8">
        <v>13138.29</v>
      </c>
      <c r="D8" s="8">
        <f>((C8-Sheet6!C7)/Sheet6!C7)*100</f>
        <v>-1.6104585070102257</v>
      </c>
    </row>
    <row r="9" spans="1:4" x14ac:dyDescent="0.35">
      <c r="A9" s="4">
        <v>7</v>
      </c>
      <c r="B9" s="5" t="s">
        <v>8</v>
      </c>
      <c r="C9" s="8">
        <v>13566.18</v>
      </c>
      <c r="D9" s="8">
        <f>((C9-Sheet6!C8)/Sheet6!C8)*100</f>
        <v>-1.6447425658158068</v>
      </c>
    </row>
    <row r="10" spans="1:4" x14ac:dyDescent="0.35">
      <c r="A10" s="4">
        <v>8</v>
      </c>
      <c r="B10" s="5" t="s">
        <v>9</v>
      </c>
      <c r="C10" s="8">
        <v>22865.15</v>
      </c>
      <c r="D10" s="8">
        <f>((C10-Sheet6!C9)/Sheet6!C9)*100</f>
        <v>-1.6685911371147566</v>
      </c>
    </row>
    <row r="11" spans="1:4" x14ac:dyDescent="0.35">
      <c r="A11" s="4">
        <v>9</v>
      </c>
      <c r="B11" s="5" t="s">
        <v>10</v>
      </c>
      <c r="C11" s="8">
        <v>22409.73</v>
      </c>
      <c r="D11" s="8">
        <f>((C11-Sheet6!C10)/Sheet6!C10)*100</f>
        <v>-1.1964587255468164</v>
      </c>
    </row>
    <row r="12" spans="1:4" x14ac:dyDescent="0.35">
      <c r="A12" s="4">
        <v>10</v>
      </c>
      <c r="B12" s="5" t="s">
        <v>11</v>
      </c>
      <c r="C12" s="8">
        <v>27480.36</v>
      </c>
      <c r="D12" s="8">
        <f>((C12-Sheet6!C11)/Sheet6!C11)*100</f>
        <v>-1.1710786057248852</v>
      </c>
    </row>
    <row r="13" spans="1:4" x14ac:dyDescent="0.35">
      <c r="A13" s="4">
        <v>11</v>
      </c>
      <c r="B13" s="5" t="s">
        <v>12</v>
      </c>
      <c r="C13" s="8">
        <v>26616.5</v>
      </c>
      <c r="D13" s="8">
        <f>((C13-Sheet6!C12)/Sheet6!C12)*100</f>
        <v>-1.6986723513135356</v>
      </c>
    </row>
    <row r="14" spans="1:4" x14ac:dyDescent="0.35">
      <c r="A14" s="4">
        <v>12</v>
      </c>
      <c r="B14" s="5" t="s">
        <v>13</v>
      </c>
      <c r="C14" s="8">
        <v>20563.14</v>
      </c>
      <c r="D14" s="8">
        <f>((C14-Sheet6!C13)/Sheet6!C13)*100</f>
        <v>-1.4051929856862762</v>
      </c>
    </row>
    <row r="15" spans="1:4" x14ac:dyDescent="0.35">
      <c r="A15" s="4">
        <v>13</v>
      </c>
      <c r="B15" s="5" t="s">
        <v>14</v>
      </c>
      <c r="C15" s="8">
        <v>26103.23</v>
      </c>
      <c r="D15" s="8">
        <f>((C15-Sheet6!C14)/Sheet6!C14)*100</f>
        <v>-1.8665971923033911</v>
      </c>
    </row>
    <row r="16" spans="1:4" x14ac:dyDescent="0.35">
      <c r="A16" s="4">
        <v>14</v>
      </c>
      <c r="B16" s="5" t="s">
        <v>15</v>
      </c>
      <c r="C16" s="8">
        <v>26367.26</v>
      </c>
      <c r="D16" s="8">
        <f>((C16-Sheet6!C15)/Sheet6!C15)*100</f>
        <v>-1.8091048096567128</v>
      </c>
    </row>
    <row r="17" spans="1:4" x14ac:dyDescent="0.35">
      <c r="A17" s="4">
        <v>15</v>
      </c>
      <c r="B17" s="5" t="s">
        <v>16</v>
      </c>
      <c r="C17" s="8">
        <v>19383.03</v>
      </c>
      <c r="D17" s="8">
        <f>((C17-Sheet6!C16)/Sheet6!C16)*100</f>
        <v>-1.5721617681335718</v>
      </c>
    </row>
    <row r="18" spans="1:4" x14ac:dyDescent="0.35">
      <c r="A18" s="4">
        <v>16</v>
      </c>
      <c r="B18" s="5" t="s">
        <v>17</v>
      </c>
      <c r="C18" s="8">
        <v>17483.89</v>
      </c>
      <c r="D18" s="8">
        <f>((C18-Sheet6!C17)/Sheet6!C17)*100</f>
        <v>-4.5556876630189658</v>
      </c>
    </row>
    <row r="19" spans="1:4" x14ac:dyDescent="0.35">
      <c r="A19" s="4">
        <v>17</v>
      </c>
      <c r="B19" s="5" t="s">
        <v>18</v>
      </c>
      <c r="C19" s="8">
        <v>13409.63</v>
      </c>
      <c r="D19" s="8">
        <f>((C19-Sheet6!C18)/Sheet6!C18)*100</f>
        <v>-1.4891635089925828</v>
      </c>
    </row>
    <row r="20" spans="1:4" x14ac:dyDescent="0.35">
      <c r="A20" s="4">
        <v>18</v>
      </c>
      <c r="B20" s="5" t="s">
        <v>19</v>
      </c>
      <c r="C20" s="8">
        <v>30527.47</v>
      </c>
      <c r="D20" s="8">
        <f>((C20-Sheet6!C19)/Sheet6!C19)*100</f>
        <v>-1.1588330789519179</v>
      </c>
    </row>
    <row r="21" spans="1:4" x14ac:dyDescent="0.35">
      <c r="A21" s="4">
        <v>19</v>
      </c>
      <c r="B21" s="5" t="s">
        <v>20</v>
      </c>
      <c r="C21" s="8">
        <v>70964.73</v>
      </c>
      <c r="D21" s="8">
        <f>((C21-Sheet6!C20)/Sheet6!C20)*100</f>
        <v>-3.1089495640329914</v>
      </c>
    </row>
    <row r="22" spans="1:4" x14ac:dyDescent="0.35">
      <c r="A22" s="4">
        <v>20</v>
      </c>
      <c r="B22" s="5" t="s">
        <v>21</v>
      </c>
      <c r="C22" s="8">
        <v>20973.09</v>
      </c>
      <c r="D22" s="8">
        <f>((C22-Sheet6!C21)/Sheet6!C21)*100</f>
        <v>-1.9228610923538165</v>
      </c>
    </row>
    <row r="23" spans="1:4" x14ac:dyDescent="0.35">
      <c r="A23" s="4">
        <v>21</v>
      </c>
      <c r="B23" s="5" t="s">
        <v>22</v>
      </c>
      <c r="C23" s="8">
        <v>18374.560000000001</v>
      </c>
      <c r="D23" s="8">
        <f>((C23-Sheet6!C22)/Sheet6!C22)*100</f>
        <v>-0.23049344057475721</v>
      </c>
    </row>
    <row r="24" spans="1:4" x14ac:dyDescent="0.35">
      <c r="A24" s="4">
        <v>22</v>
      </c>
      <c r="B24" s="5" t="s">
        <v>23</v>
      </c>
      <c r="C24" s="8">
        <v>34688.04</v>
      </c>
      <c r="D24" s="8">
        <f>((C24-Sheet6!C23)/Sheet6!C23)*100</f>
        <v>-2.6682035614956168</v>
      </c>
    </row>
    <row r="25" spans="1:4" x14ac:dyDescent="0.35">
      <c r="A25" s="4">
        <v>23</v>
      </c>
      <c r="B25" s="5" t="s">
        <v>24</v>
      </c>
      <c r="C25" s="8">
        <v>14890.76</v>
      </c>
      <c r="D25" s="8">
        <f>((C25-Sheet6!C24)/Sheet6!C24)*100</f>
        <v>-2.1250080517626411</v>
      </c>
    </row>
    <row r="26" spans="1:4" x14ac:dyDescent="0.35">
      <c r="A26" s="4">
        <v>24</v>
      </c>
      <c r="B26" s="5" t="s">
        <v>25</v>
      </c>
      <c r="C26" s="8">
        <v>30449.02</v>
      </c>
      <c r="D26" s="8">
        <f>((C26-Sheet6!C25)/Sheet6!C25)*100</f>
        <v>-1.5117224229607629</v>
      </c>
    </row>
    <row r="27" spans="1:4" x14ac:dyDescent="0.35">
      <c r="A27" s="4">
        <v>25</v>
      </c>
      <c r="B27" s="5" t="s">
        <v>26</v>
      </c>
      <c r="C27" s="8">
        <v>15031.08</v>
      </c>
      <c r="D27" s="8">
        <f>((C27-Sheet6!C26)/Sheet6!C26)*100</f>
        <v>-1.285300447435086</v>
      </c>
    </row>
    <row r="28" spans="1:4" x14ac:dyDescent="0.35">
      <c r="A28" s="4">
        <v>26</v>
      </c>
      <c r="B28" s="5" t="s">
        <v>27</v>
      </c>
      <c r="C28" s="8">
        <v>16047.51</v>
      </c>
      <c r="D28" s="8">
        <f>((C28-Sheet6!C27)/Sheet6!C27)*100</f>
        <v>-1.888196327420238</v>
      </c>
    </row>
    <row r="29" spans="1:4" x14ac:dyDescent="0.35">
      <c r="A29" s="4">
        <v>27</v>
      </c>
      <c r="B29" s="5" t="s">
        <v>28</v>
      </c>
      <c r="C29" s="8">
        <v>18155.599999999999</v>
      </c>
      <c r="D29" s="8">
        <f>((C29-Sheet6!C28)/Sheet6!C28)*100</f>
        <v>-0.61093106770606431</v>
      </c>
    </row>
    <row r="30" spans="1:4" x14ac:dyDescent="0.35">
      <c r="A30" s="4">
        <v>28</v>
      </c>
      <c r="B30" s="5" t="s">
        <v>29</v>
      </c>
      <c r="C30" s="8">
        <v>24492.62</v>
      </c>
      <c r="D30" s="8">
        <f>((C30-Sheet6!C29)/Sheet6!C29)*100</f>
        <v>-1.4837399191521068</v>
      </c>
    </row>
    <row r="31" spans="1:4" x14ac:dyDescent="0.35">
      <c r="A31" s="4">
        <v>29</v>
      </c>
      <c r="B31" s="5" t="s">
        <v>30</v>
      </c>
      <c r="C31" s="8">
        <v>32693.08</v>
      </c>
      <c r="D31" s="8">
        <f>((C31-Sheet6!C30)/Sheet6!C30)*100</f>
        <v>-0.47120269022091194</v>
      </c>
    </row>
    <row r="32" spans="1:4" x14ac:dyDescent="0.35">
      <c r="A32" s="4">
        <v>30</v>
      </c>
      <c r="B32" s="5" t="s">
        <v>31</v>
      </c>
      <c r="C32" s="8">
        <v>6312.05</v>
      </c>
      <c r="D32" s="8">
        <f>((C32-Sheet6!C31)/Sheet6!C31)*100</f>
        <v>-2.4494091683228878</v>
      </c>
    </row>
    <row r="33" spans="1:4" x14ac:dyDescent="0.35">
      <c r="A33" s="4">
        <v>31</v>
      </c>
      <c r="B33" s="5" t="s">
        <v>32</v>
      </c>
      <c r="C33" s="8">
        <v>34815.97</v>
      </c>
      <c r="D33" s="8">
        <f>((C33-Sheet6!C32)/Sheet6!C32)*100</f>
        <v>-1.7638838061223234</v>
      </c>
    </row>
    <row r="34" spans="1:4" x14ac:dyDescent="0.35">
      <c r="A34" s="4">
        <v>32</v>
      </c>
      <c r="B34" s="5" t="s">
        <v>33</v>
      </c>
      <c r="C34" s="8">
        <v>9503.7099999999991</v>
      </c>
      <c r="D34" s="8">
        <f>((C34-Sheet6!C33)/Sheet6!C33)*100</f>
        <v>-1.6835549762322422</v>
      </c>
    </row>
    <row r="35" spans="1:4" x14ac:dyDescent="0.35">
      <c r="A35" s="4">
        <v>33</v>
      </c>
      <c r="B35" s="5" t="s">
        <v>34</v>
      </c>
      <c r="C35" s="8">
        <v>137601.98000000001</v>
      </c>
      <c r="D35" s="8">
        <f>((C35-Sheet6!C34)/Sheet6!C34)*100</f>
        <v>-1.8527452875730095</v>
      </c>
    </row>
    <row r="36" spans="1:4" x14ac:dyDescent="0.35">
      <c r="A36" s="4">
        <v>34</v>
      </c>
      <c r="B36" s="5" t="s">
        <v>35</v>
      </c>
      <c r="C36" s="8">
        <v>7337.83</v>
      </c>
      <c r="D36" s="8">
        <f>((C36-Sheet6!C35)/Sheet6!C35)*100</f>
        <v>-1.8669516130542227</v>
      </c>
    </row>
    <row r="37" spans="1:4" x14ac:dyDescent="0.35">
      <c r="A37" s="4">
        <v>35</v>
      </c>
      <c r="B37" s="5" t="s">
        <v>36</v>
      </c>
      <c r="C37" s="8">
        <v>10949.12</v>
      </c>
      <c r="D37" s="8">
        <f>((C37-Sheet6!C36)/Sheet6!C36)*100</f>
        <v>-2.2904251198934822</v>
      </c>
    </row>
    <row r="38" spans="1:4" x14ac:dyDescent="0.35">
      <c r="A38" s="6" t="s">
        <v>37</v>
      </c>
      <c r="B38" s="6"/>
      <c r="C38" s="9">
        <f>SUM(C3:C37)</f>
        <v>964084.21999999986</v>
      </c>
      <c r="D38" s="9">
        <f>((C38-Sheet6!C37)/Sheet6!C37)*100</f>
        <v>-2.6344758714718362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D3" sqref="D3"/>
    </sheetView>
  </sheetViews>
  <sheetFormatPr defaultRowHeight="14.5" x14ac:dyDescent="0.35"/>
  <cols>
    <col min="2" max="2" width="21.6328125" bestFit="1" customWidth="1"/>
    <col min="3" max="4" width="13.6328125" customWidth="1"/>
  </cols>
  <sheetData>
    <row r="1" spans="1:4" ht="35" customHeight="1" x14ac:dyDescent="0.35">
      <c r="A1" s="1" t="s">
        <v>40</v>
      </c>
      <c r="B1" s="1"/>
      <c r="C1" s="1"/>
      <c r="D1" s="1"/>
    </row>
    <row r="2" spans="1:4" ht="29" x14ac:dyDescent="0.35">
      <c r="A2" s="2" t="s">
        <v>0</v>
      </c>
      <c r="B2" s="3" t="s">
        <v>1</v>
      </c>
      <c r="C2" s="3" t="s">
        <v>38</v>
      </c>
      <c r="D2" s="7" t="s">
        <v>39</v>
      </c>
    </row>
    <row r="3" spans="1:4" x14ac:dyDescent="0.35">
      <c r="A3" s="4">
        <v>1</v>
      </c>
      <c r="B3" s="5" t="s">
        <v>2</v>
      </c>
      <c r="C3" s="8">
        <v>91944.59</v>
      </c>
      <c r="D3" s="8">
        <f>((C3-'2020'!C3)/'2020'!C3)*100</f>
        <v>2.1475125756041553</v>
      </c>
    </row>
    <row r="4" spans="1:4" x14ac:dyDescent="0.35">
      <c r="A4" s="4">
        <v>2</v>
      </c>
      <c r="B4" s="5" t="s">
        <v>3</v>
      </c>
      <c r="C4" s="8">
        <v>40686.81</v>
      </c>
      <c r="D4" s="8">
        <f>((C4-'2020'!C4)/'2020'!C4)*100</f>
        <v>4.0008312539204534</v>
      </c>
    </row>
    <row r="5" spans="1:4" x14ac:dyDescent="0.35">
      <c r="A5" s="4">
        <v>3</v>
      </c>
      <c r="B5" s="5" t="s">
        <v>4</v>
      </c>
      <c r="C5" s="8">
        <v>17731.439999999999</v>
      </c>
      <c r="D5" s="8">
        <f>((C5-'2020'!C5)/'2020'!C5)*100</f>
        <v>3.1925400122331125</v>
      </c>
    </row>
    <row r="6" spans="1:4" x14ac:dyDescent="0.35">
      <c r="A6" s="4">
        <v>4</v>
      </c>
      <c r="B6" s="5" t="s">
        <v>5</v>
      </c>
      <c r="C6" s="8">
        <v>15536.48</v>
      </c>
      <c r="D6" s="8">
        <f>((C6-'2020'!C6)/'2020'!C6)*100</f>
        <v>3.2606932927818142</v>
      </c>
    </row>
    <row r="7" spans="1:4" x14ac:dyDescent="0.35">
      <c r="A7" s="4">
        <v>5</v>
      </c>
      <c r="B7" s="5" t="s">
        <v>6</v>
      </c>
      <c r="C7" s="8">
        <v>20253.060000000001</v>
      </c>
      <c r="D7" s="8">
        <f>((C7-'2020'!C7)/'2020'!C7)*100</f>
        <v>3.7147307972383867</v>
      </c>
    </row>
    <row r="8" spans="1:4" x14ac:dyDescent="0.35">
      <c r="A8" s="4">
        <v>6</v>
      </c>
      <c r="B8" s="5" t="s">
        <v>7</v>
      </c>
      <c r="C8" s="8">
        <v>13573.47</v>
      </c>
      <c r="D8" s="8">
        <f>((C8-'2020'!C8)/'2020'!C8)*100</f>
        <v>3.3123031992747798</v>
      </c>
    </row>
    <row r="9" spans="1:4" x14ac:dyDescent="0.35">
      <c r="A9" s="4">
        <v>7</v>
      </c>
      <c r="B9" s="5" t="s">
        <v>8</v>
      </c>
      <c r="C9" s="8">
        <v>14064.76</v>
      </c>
      <c r="D9" s="8">
        <f>((C9-'2020'!C9)/'2020'!C9)*100</f>
        <v>3.6751686915550281</v>
      </c>
    </row>
    <row r="10" spans="1:4" x14ac:dyDescent="0.35">
      <c r="A10" s="4">
        <v>8</v>
      </c>
      <c r="B10" s="5" t="s">
        <v>9</v>
      </c>
      <c r="C10" s="8">
        <v>23661.71</v>
      </c>
      <c r="D10" s="8">
        <f>((C10-'2020'!C10)/'2020'!C10)*100</f>
        <v>3.4837296059723974</v>
      </c>
    </row>
    <row r="11" spans="1:4" x14ac:dyDescent="0.35">
      <c r="A11" s="4">
        <v>9</v>
      </c>
      <c r="B11" s="5" t="s">
        <v>10</v>
      </c>
      <c r="C11" s="8">
        <v>23447.37</v>
      </c>
      <c r="D11" s="8">
        <f>((C11-'2020'!C11)/'2020'!C11)*100</f>
        <v>4.6303101376054032</v>
      </c>
    </row>
    <row r="12" spans="1:4" x14ac:dyDescent="0.35">
      <c r="A12" s="4">
        <v>10</v>
      </c>
      <c r="B12" s="5" t="s">
        <v>11</v>
      </c>
      <c r="C12" s="8">
        <v>28531.11</v>
      </c>
      <c r="D12" s="8">
        <f>((C12-'2020'!C12)/'2020'!C12)*100</f>
        <v>3.8236398649799344</v>
      </c>
    </row>
    <row r="13" spans="1:4" x14ac:dyDescent="0.35">
      <c r="A13" s="4">
        <v>11</v>
      </c>
      <c r="B13" s="5" t="s">
        <v>12</v>
      </c>
      <c r="C13" s="8">
        <v>27634.12</v>
      </c>
      <c r="D13" s="8">
        <f>((C13-'2020'!C13)/'2020'!C13)*100</f>
        <v>3.823267522025807</v>
      </c>
    </row>
    <row r="14" spans="1:4" x14ac:dyDescent="0.35">
      <c r="A14" s="4">
        <v>12</v>
      </c>
      <c r="B14" s="5" t="s">
        <v>13</v>
      </c>
      <c r="C14" s="8">
        <v>21251.17</v>
      </c>
      <c r="D14" s="8">
        <f>((C14-'2020'!C14)/'2020'!C14)*100</f>
        <v>3.3459384121296591</v>
      </c>
    </row>
    <row r="15" spans="1:4" x14ac:dyDescent="0.35">
      <c r="A15" s="4">
        <v>13</v>
      </c>
      <c r="B15" s="5" t="s">
        <v>14</v>
      </c>
      <c r="C15" s="8">
        <v>27039.61</v>
      </c>
      <c r="D15" s="8">
        <f>((C15-'2020'!C15)/'2020'!C15)*100</f>
        <v>3.5872188997300372</v>
      </c>
    </row>
    <row r="16" spans="1:4" x14ac:dyDescent="0.35">
      <c r="A16" s="4">
        <v>14</v>
      </c>
      <c r="B16" s="5" t="s">
        <v>15</v>
      </c>
      <c r="C16" s="8">
        <v>27355.15</v>
      </c>
      <c r="D16" s="8">
        <f>((C16-'2020'!C16)/'2020'!C16)*100</f>
        <v>3.7466539943854729</v>
      </c>
    </row>
    <row r="17" spans="1:4" x14ac:dyDescent="0.35">
      <c r="A17" s="4">
        <v>15</v>
      </c>
      <c r="B17" s="5" t="s">
        <v>16</v>
      </c>
      <c r="C17" s="8">
        <v>20115.53</v>
      </c>
      <c r="D17" s="8">
        <f>((C17-'2020'!C17)/'2020'!C17)*100</f>
        <v>3.7790789159383236</v>
      </c>
    </row>
    <row r="18" spans="1:4" x14ac:dyDescent="0.35">
      <c r="A18" s="4">
        <v>16</v>
      </c>
      <c r="B18" s="5" t="s">
        <v>17</v>
      </c>
      <c r="C18" s="8">
        <v>18126.45</v>
      </c>
      <c r="D18" s="8">
        <f>((C18-'2020'!C18)/'2020'!C18)*100</f>
        <v>3.6751546709571001</v>
      </c>
    </row>
    <row r="19" spans="1:4" x14ac:dyDescent="0.35">
      <c r="A19" s="4">
        <v>17</v>
      </c>
      <c r="B19" s="5" t="s">
        <v>18</v>
      </c>
      <c r="C19" s="8">
        <v>13925.52</v>
      </c>
      <c r="D19" s="8">
        <f>((C19-'2020'!C19)/'2020'!C19)*100</f>
        <v>3.8471605853405442</v>
      </c>
    </row>
    <row r="20" spans="1:4" x14ac:dyDescent="0.35">
      <c r="A20" s="4">
        <v>18</v>
      </c>
      <c r="B20" s="5" t="s">
        <v>19</v>
      </c>
      <c r="C20" s="8">
        <v>31559.08</v>
      </c>
      <c r="D20" s="8">
        <f>((C20-'2020'!C20)/'2020'!C20)*100</f>
        <v>3.3792842970609769</v>
      </c>
    </row>
    <row r="21" spans="1:4" x14ac:dyDescent="0.35">
      <c r="A21" s="4">
        <v>19</v>
      </c>
      <c r="B21" s="5" t="s">
        <v>20</v>
      </c>
      <c r="C21" s="8">
        <v>69872.179999999993</v>
      </c>
      <c r="D21" s="8">
        <f>((C21-'2020'!C21)/'2020'!C21)*100</f>
        <v>-1.5395676133763956</v>
      </c>
    </row>
    <row r="22" spans="1:4" x14ac:dyDescent="0.35">
      <c r="A22" s="4">
        <v>20</v>
      </c>
      <c r="B22" s="5" t="s">
        <v>21</v>
      </c>
      <c r="C22" s="8">
        <v>21944.23</v>
      </c>
      <c r="D22" s="8">
        <f>((C22-'2020'!C22)/'2020'!C22)*100</f>
        <v>4.630409729801376</v>
      </c>
    </row>
    <row r="23" spans="1:4" x14ac:dyDescent="0.35">
      <c r="A23" s="4">
        <v>21</v>
      </c>
      <c r="B23" s="5" t="s">
        <v>22</v>
      </c>
      <c r="C23" s="8">
        <v>18856.419999999998</v>
      </c>
      <c r="D23" s="8">
        <f>((C23-'2020'!C23)/'2020'!C23)*100</f>
        <v>2.6224301425448933</v>
      </c>
    </row>
    <row r="24" spans="1:4" x14ac:dyDescent="0.35">
      <c r="A24" s="4">
        <v>22</v>
      </c>
      <c r="B24" s="5" t="s">
        <v>23</v>
      </c>
      <c r="C24" s="8">
        <v>35948.86</v>
      </c>
      <c r="D24" s="8">
        <f>((C24-'2020'!C24)/'2020'!C24)*100</f>
        <v>3.634739812338776</v>
      </c>
    </row>
    <row r="25" spans="1:4" x14ac:dyDescent="0.35">
      <c r="A25" s="4">
        <v>23</v>
      </c>
      <c r="B25" s="5" t="s">
        <v>24</v>
      </c>
      <c r="C25" s="8">
        <v>15387.93</v>
      </c>
      <c r="D25" s="8">
        <f>((C25-'2020'!C25)/'2020'!C25)*100</f>
        <v>3.3387819023340657</v>
      </c>
    </row>
    <row r="26" spans="1:4" x14ac:dyDescent="0.35">
      <c r="A26" s="4">
        <v>24</v>
      </c>
      <c r="B26" s="5" t="s">
        <v>25</v>
      </c>
      <c r="C26" s="8">
        <v>31632.28</v>
      </c>
      <c r="D26" s="8">
        <f>((C26-'2020'!C26)/'2020'!C26)*100</f>
        <v>3.8860363978873482</v>
      </c>
    </row>
    <row r="27" spans="1:4" x14ac:dyDescent="0.35">
      <c r="A27" s="4">
        <v>25</v>
      </c>
      <c r="B27" s="5" t="s">
        <v>26</v>
      </c>
      <c r="C27" s="8">
        <v>15764.27</v>
      </c>
      <c r="D27" s="8">
        <f>((C27-'2020'!C27)/'2020'!C27)*100</f>
        <v>4.8778264768732553</v>
      </c>
    </row>
    <row r="28" spans="1:4" x14ac:dyDescent="0.35">
      <c r="A28" s="4">
        <v>26</v>
      </c>
      <c r="B28" s="5" t="s">
        <v>27</v>
      </c>
      <c r="C28" s="8">
        <v>16615.07</v>
      </c>
      <c r="D28" s="8">
        <f>((C28-'2020'!C28)/'2020'!C28)*100</f>
        <v>3.5367480687034902</v>
      </c>
    </row>
    <row r="29" spans="1:4" x14ac:dyDescent="0.35">
      <c r="A29" s="4">
        <v>27</v>
      </c>
      <c r="B29" s="5" t="s">
        <v>28</v>
      </c>
      <c r="C29" s="8">
        <v>18933.189999999999</v>
      </c>
      <c r="D29" s="8">
        <f>((C29-'2020'!C29)/'2020'!C29)*100</f>
        <v>4.2829209720416852</v>
      </c>
    </row>
    <row r="30" spans="1:4" x14ac:dyDescent="0.35">
      <c r="A30" s="4">
        <v>28</v>
      </c>
      <c r="B30" s="5" t="s">
        <v>29</v>
      </c>
      <c r="C30" s="8">
        <v>25401.91</v>
      </c>
      <c r="D30" s="8">
        <f>((C30-'2020'!C30)/'2020'!C30)*100</f>
        <v>3.7125060528436769</v>
      </c>
    </row>
    <row r="31" spans="1:4" x14ac:dyDescent="0.35">
      <c r="A31" s="4">
        <v>29</v>
      </c>
      <c r="B31" s="5" t="s">
        <v>30</v>
      </c>
      <c r="C31" s="8">
        <v>33533.33</v>
      </c>
      <c r="D31" s="8">
        <f>((C31-'2020'!C31)/'2020'!C31)*100</f>
        <v>2.5701157553830964</v>
      </c>
    </row>
    <row r="32" spans="1:4" x14ac:dyDescent="0.35">
      <c r="A32" s="4">
        <v>30</v>
      </c>
      <c r="B32" s="5" t="s">
        <v>31</v>
      </c>
      <c r="C32" s="8">
        <v>6513.89</v>
      </c>
      <c r="D32" s="8">
        <f>((C32-'2020'!C32)/'2020'!C32)*100</f>
        <v>3.1976933009085822</v>
      </c>
    </row>
    <row r="33" spans="1:4" x14ac:dyDescent="0.35">
      <c r="A33" s="4">
        <v>31</v>
      </c>
      <c r="B33" s="5" t="s">
        <v>32</v>
      </c>
      <c r="C33" s="8">
        <v>36211.25</v>
      </c>
      <c r="D33" s="8">
        <f>((C33-'2020'!C33)/'2020'!C33)*100</f>
        <v>4.0075861738162075</v>
      </c>
    </row>
    <row r="34" spans="1:4" x14ac:dyDescent="0.35">
      <c r="A34" s="4">
        <v>32</v>
      </c>
      <c r="B34" s="5" t="s">
        <v>33</v>
      </c>
      <c r="C34" s="8">
        <v>9822</v>
      </c>
      <c r="D34" s="8">
        <f>((C34-'2020'!C34)/'2020'!C34)*100</f>
        <v>3.3491131358174955</v>
      </c>
    </row>
    <row r="35" spans="1:4" x14ac:dyDescent="0.35">
      <c r="A35" s="4">
        <v>33</v>
      </c>
      <c r="B35" s="5" t="s">
        <v>34</v>
      </c>
      <c r="C35" s="8">
        <v>144704.57</v>
      </c>
      <c r="D35" s="8">
        <f>((C35-'2020'!C35)/'2020'!C35)*100</f>
        <v>5.1616917140291116</v>
      </c>
    </row>
    <row r="36" spans="1:4" x14ac:dyDescent="0.35">
      <c r="A36" s="4">
        <v>34</v>
      </c>
      <c r="B36" s="5" t="s">
        <v>35</v>
      </c>
      <c r="C36" s="8">
        <v>7601.49</v>
      </c>
      <c r="D36" s="8">
        <f>((C36-'2020'!C36)/'2020'!C36)*100</f>
        <v>3.5931603757514119</v>
      </c>
    </row>
    <row r="37" spans="1:4" x14ac:dyDescent="0.35">
      <c r="A37" s="4">
        <v>35</v>
      </c>
      <c r="B37" s="5" t="s">
        <v>36</v>
      </c>
      <c r="C37" s="8">
        <v>11290.27</v>
      </c>
      <c r="D37" s="8">
        <f>((C37-'2020'!C37)/'2020'!C37)*100</f>
        <v>3.1157755143792341</v>
      </c>
    </row>
    <row r="38" spans="1:4" x14ac:dyDescent="0.35">
      <c r="A38" s="6" t="s">
        <v>37</v>
      </c>
      <c r="B38" s="6"/>
      <c r="C38" s="9">
        <f>SUM(C3:C37)</f>
        <v>996470.57000000007</v>
      </c>
      <c r="D38" s="9">
        <f>((C38-'2020'!C38)/'2020'!C38)*100</f>
        <v>3.3592863909752837</v>
      </c>
    </row>
  </sheetData>
  <mergeCells count="2">
    <mergeCell ref="A1:D1"/>
    <mergeCell ref="A38:B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D3" sqref="D3"/>
    </sheetView>
  </sheetViews>
  <sheetFormatPr defaultRowHeight="14.5" x14ac:dyDescent="0.35"/>
  <cols>
    <col min="2" max="2" width="21.6328125" bestFit="1" customWidth="1"/>
    <col min="3" max="4" width="13.6328125" customWidth="1"/>
  </cols>
  <sheetData>
    <row r="1" spans="1:4" ht="35" customHeight="1" x14ac:dyDescent="0.35">
      <c r="A1" s="1" t="s">
        <v>40</v>
      </c>
      <c r="B1" s="1"/>
      <c r="C1" s="1"/>
      <c r="D1" s="1"/>
    </row>
    <row r="2" spans="1:4" ht="29" x14ac:dyDescent="0.35">
      <c r="A2" s="2" t="s">
        <v>0</v>
      </c>
      <c r="B2" s="3" t="s">
        <v>1</v>
      </c>
      <c r="C2" s="3" t="s">
        <v>38</v>
      </c>
      <c r="D2" s="7" t="s">
        <v>39</v>
      </c>
    </row>
    <row r="3" spans="1:4" x14ac:dyDescent="0.35">
      <c r="A3" s="4">
        <v>1</v>
      </c>
      <c r="B3" s="5" t="s">
        <v>2</v>
      </c>
      <c r="C3" s="8">
        <v>96677.84</v>
      </c>
      <c r="D3" s="8">
        <f>((C3-'2021'!C3)/'2021'!C3)*100</f>
        <v>5.1479374697304108</v>
      </c>
    </row>
    <row r="4" spans="1:4" x14ac:dyDescent="0.35">
      <c r="A4" s="4">
        <v>2</v>
      </c>
      <c r="B4" s="5" t="s">
        <v>3</v>
      </c>
      <c r="C4" s="8">
        <v>43069.5</v>
      </c>
      <c r="D4" s="8">
        <f>((C4-'2021'!C4)/'2021'!C4)*100</f>
        <v>5.8561730447779086</v>
      </c>
    </row>
    <row r="5" spans="1:4" x14ac:dyDescent="0.35">
      <c r="A5" s="4">
        <v>3</v>
      </c>
      <c r="B5" s="5" t="s">
        <v>4</v>
      </c>
      <c r="C5" s="8">
        <v>18690.73</v>
      </c>
      <c r="D5" s="8">
        <f>((C5-'2021'!C5)/'2021'!C5)*100</f>
        <v>5.4101076957088701</v>
      </c>
    </row>
    <row r="6" spans="1:4" x14ac:dyDescent="0.35">
      <c r="A6" s="4">
        <v>4</v>
      </c>
      <c r="B6" s="5" t="s">
        <v>5</v>
      </c>
      <c r="C6" s="8">
        <v>16359.11</v>
      </c>
      <c r="D6" s="8">
        <f>((C6-'2021'!C6)/'2021'!C6)*100</f>
        <v>5.2948286870642587</v>
      </c>
    </row>
    <row r="7" spans="1:4" x14ac:dyDescent="0.35">
      <c r="A7" s="4">
        <v>5</v>
      </c>
      <c r="B7" s="5" t="s">
        <v>6</v>
      </c>
      <c r="C7" s="8">
        <v>21425.79</v>
      </c>
      <c r="D7" s="8">
        <f>((C7-'2021'!C7)/'2021'!C7)*100</f>
        <v>5.79038426785878</v>
      </c>
    </row>
    <row r="8" spans="1:4" x14ac:dyDescent="0.35">
      <c r="A8" s="4">
        <v>6</v>
      </c>
      <c r="B8" s="5" t="s">
        <v>7</v>
      </c>
      <c r="C8" s="8">
        <v>14300.56</v>
      </c>
      <c r="D8" s="8">
        <f>((C8-'2021'!C8)/'2021'!C8)*100</f>
        <v>5.3566995027800566</v>
      </c>
    </row>
    <row r="9" spans="1:4" x14ac:dyDescent="0.35">
      <c r="A9" s="4">
        <v>7</v>
      </c>
      <c r="B9" s="5" t="s">
        <v>8</v>
      </c>
      <c r="C9" s="8">
        <v>14770.5</v>
      </c>
      <c r="D9" s="8">
        <f>((C9-'2021'!C9)/'2021'!C9)*100</f>
        <v>5.0177891410873681</v>
      </c>
    </row>
    <row r="10" spans="1:4" x14ac:dyDescent="0.35">
      <c r="A10" s="4">
        <v>8</v>
      </c>
      <c r="B10" s="5" t="s">
        <v>9</v>
      </c>
      <c r="C10" s="8">
        <v>24953.18</v>
      </c>
      <c r="D10" s="8">
        <f>((C10-'2021'!C10)/'2021'!C10)*100</f>
        <v>5.4580586103033184</v>
      </c>
    </row>
    <row r="11" spans="1:4" x14ac:dyDescent="0.35">
      <c r="A11" s="4">
        <v>9</v>
      </c>
      <c r="B11" s="5" t="s">
        <v>10</v>
      </c>
      <c r="C11" s="8">
        <v>24931.3</v>
      </c>
      <c r="D11" s="8">
        <f>((C11-'2021'!C11)/'2021'!C11)*100</f>
        <v>6.3287694952568252</v>
      </c>
    </row>
    <row r="12" spans="1:4" x14ac:dyDescent="0.35">
      <c r="A12" s="4">
        <v>10</v>
      </c>
      <c r="B12" s="5" t="s">
        <v>11</v>
      </c>
      <c r="C12" s="8">
        <v>30214.98</v>
      </c>
      <c r="D12" s="8">
        <f>((C12-'2021'!C12)/'2021'!C12)*100</f>
        <v>5.9018734286888908</v>
      </c>
    </row>
    <row r="13" spans="1:4" x14ac:dyDescent="0.35">
      <c r="A13" s="4">
        <v>11</v>
      </c>
      <c r="B13" s="5" t="s">
        <v>12</v>
      </c>
      <c r="C13" s="8">
        <v>29185.35</v>
      </c>
      <c r="D13" s="8">
        <f>((C13-'2021'!C13)/'2021'!C13)*100</f>
        <v>5.613459013712033</v>
      </c>
    </row>
    <row r="14" spans="1:4" x14ac:dyDescent="0.35">
      <c r="A14" s="4">
        <v>12</v>
      </c>
      <c r="B14" s="5" t="s">
        <v>13</v>
      </c>
      <c r="C14" s="8">
        <v>22448.63</v>
      </c>
      <c r="D14" s="8">
        <f>((C14-'2021'!C14)/'2021'!C14)*100</f>
        <v>5.6347956371343457</v>
      </c>
    </row>
    <row r="15" spans="1:4" x14ac:dyDescent="0.35">
      <c r="A15" s="4">
        <v>13</v>
      </c>
      <c r="B15" s="5" t="s">
        <v>14</v>
      </c>
      <c r="C15" s="8">
        <v>28624.99</v>
      </c>
      <c r="D15" s="8">
        <f>((C15-'2021'!C15)/'2021'!C15)*100</f>
        <v>5.8631762810188492</v>
      </c>
    </row>
    <row r="16" spans="1:4" x14ac:dyDescent="0.35">
      <c r="A16" s="4">
        <v>14</v>
      </c>
      <c r="B16" s="5" t="s">
        <v>15</v>
      </c>
      <c r="C16" s="8">
        <v>28929.81</v>
      </c>
      <c r="D16" s="8">
        <f>((C16-'2021'!C16)/'2021'!C16)*100</f>
        <v>5.7563566641016406</v>
      </c>
    </row>
    <row r="17" spans="1:4" x14ac:dyDescent="0.35">
      <c r="A17" s="4">
        <v>15</v>
      </c>
      <c r="B17" s="5" t="s">
        <v>16</v>
      </c>
      <c r="C17" s="8">
        <v>21318.16</v>
      </c>
      <c r="D17" s="8">
        <f>((C17-'2021'!C17)/'2021'!C17)*100</f>
        <v>5.9786145331492691</v>
      </c>
    </row>
    <row r="18" spans="1:4" x14ac:dyDescent="0.35">
      <c r="A18" s="4">
        <v>16</v>
      </c>
      <c r="B18" s="5" t="s">
        <v>17</v>
      </c>
      <c r="C18" s="8">
        <v>18609.490000000002</v>
      </c>
      <c r="D18" s="8">
        <f>((C18-'2021'!C18)/'2021'!C18)*100</f>
        <v>2.6648350890549493</v>
      </c>
    </row>
    <row r="19" spans="1:4" x14ac:dyDescent="0.35">
      <c r="A19" s="4">
        <v>17</v>
      </c>
      <c r="B19" s="5" t="s">
        <v>18</v>
      </c>
      <c r="C19" s="8">
        <v>14698.84</v>
      </c>
      <c r="D19" s="8">
        <f>((C19-'2021'!C19)/'2021'!C19)*100</f>
        <v>5.5532576162326412</v>
      </c>
    </row>
    <row r="20" spans="1:4" x14ac:dyDescent="0.35">
      <c r="A20" s="4">
        <v>18</v>
      </c>
      <c r="B20" s="5" t="s">
        <v>19</v>
      </c>
      <c r="C20" s="8">
        <v>33312.379999999997</v>
      </c>
      <c r="D20" s="8">
        <f>((C20-'2021'!C20)/'2021'!C20)*100</f>
        <v>5.5556118872920104</v>
      </c>
    </row>
    <row r="21" spans="1:4" x14ac:dyDescent="0.35">
      <c r="A21" s="4">
        <v>19</v>
      </c>
      <c r="B21" s="5" t="s">
        <v>20</v>
      </c>
      <c r="C21" s="8">
        <v>71416.929999999993</v>
      </c>
      <c r="D21" s="8">
        <f>((C21-'2021'!C21)/'2021'!C21)*100</f>
        <v>2.2108226764929908</v>
      </c>
    </row>
    <row r="22" spans="1:4" x14ac:dyDescent="0.35">
      <c r="A22" s="4">
        <v>20</v>
      </c>
      <c r="B22" s="5" t="s">
        <v>21</v>
      </c>
      <c r="C22" s="8">
        <v>23249.85</v>
      </c>
      <c r="D22" s="8">
        <f>((C22-'2021'!C22)/'2021'!C22)*100</f>
        <v>5.949718901050522</v>
      </c>
    </row>
    <row r="23" spans="1:4" x14ac:dyDescent="0.35">
      <c r="A23" s="4">
        <v>21</v>
      </c>
      <c r="B23" s="5" t="s">
        <v>22</v>
      </c>
      <c r="C23" s="8">
        <v>19846.43</v>
      </c>
      <c r="D23" s="8">
        <f>((C23-'2021'!C23)/'2021'!C23)*100</f>
        <v>5.2502542900508269</v>
      </c>
    </row>
    <row r="24" spans="1:4" x14ac:dyDescent="0.35">
      <c r="A24" s="4">
        <v>22</v>
      </c>
      <c r="B24" s="5" t="s">
        <v>23</v>
      </c>
      <c r="C24" s="8">
        <v>37857.919999999998</v>
      </c>
      <c r="D24" s="8">
        <f>((C24-'2021'!C24)/'2021'!C24)*100</f>
        <v>5.3104882880847892</v>
      </c>
    </row>
    <row r="25" spans="1:4" x14ac:dyDescent="0.35">
      <c r="A25" s="4">
        <v>23</v>
      </c>
      <c r="B25" s="5" t="s">
        <v>24</v>
      </c>
      <c r="C25" s="8">
        <v>16187.37</v>
      </c>
      <c r="D25" s="8">
        <f>((C25-'2021'!C25)/'2021'!C25)*100</f>
        <v>5.1952406853943351</v>
      </c>
    </row>
    <row r="26" spans="1:4" x14ac:dyDescent="0.35">
      <c r="A26" s="4">
        <v>24</v>
      </c>
      <c r="B26" s="5" t="s">
        <v>25</v>
      </c>
      <c r="C26" s="8">
        <v>33428.959999999999</v>
      </c>
      <c r="D26" s="8">
        <f>((C26-'2021'!C26)/'2021'!C26)*100</f>
        <v>5.6798940828798949</v>
      </c>
    </row>
    <row r="27" spans="1:4" x14ac:dyDescent="0.35">
      <c r="A27" s="4">
        <v>25</v>
      </c>
      <c r="B27" s="5" t="s">
        <v>26</v>
      </c>
      <c r="C27" s="8">
        <v>16704.990000000002</v>
      </c>
      <c r="D27" s="8">
        <f>((C27-'2021'!C27)/'2021'!C27)*100</f>
        <v>5.9674187260177671</v>
      </c>
    </row>
    <row r="28" spans="1:4" x14ac:dyDescent="0.35">
      <c r="A28" s="4">
        <v>26</v>
      </c>
      <c r="B28" s="5" t="s">
        <v>27</v>
      </c>
      <c r="C28" s="8">
        <v>17463.419999999998</v>
      </c>
      <c r="D28" s="8">
        <f>((C28-'2021'!C28)/'2021'!C28)*100</f>
        <v>5.1059068664772314</v>
      </c>
    </row>
    <row r="29" spans="1:4" x14ac:dyDescent="0.35">
      <c r="A29" s="4">
        <v>27</v>
      </c>
      <c r="B29" s="5" t="s">
        <v>28</v>
      </c>
      <c r="C29" s="8">
        <v>19895.240000000002</v>
      </c>
      <c r="D29" s="8">
        <f>((C29-'2021'!C29)/'2021'!C29)*100</f>
        <v>5.0812884675007375</v>
      </c>
    </row>
    <row r="30" spans="1:4" x14ac:dyDescent="0.35">
      <c r="A30" s="4">
        <v>28</v>
      </c>
      <c r="B30" s="5" t="s">
        <v>29</v>
      </c>
      <c r="C30" s="8">
        <v>26705.27</v>
      </c>
      <c r="D30" s="8">
        <f>((C30-'2021'!C30)/'2021'!C30)*100</f>
        <v>5.1309527511907591</v>
      </c>
    </row>
    <row r="31" spans="1:4" x14ac:dyDescent="0.35">
      <c r="A31" s="4">
        <v>29</v>
      </c>
      <c r="B31" s="5" t="s">
        <v>30</v>
      </c>
      <c r="C31" s="8">
        <v>35378.61</v>
      </c>
      <c r="D31" s="8">
        <f>((C31-'2021'!C31)/'2021'!C31)*100</f>
        <v>5.5028236086305737</v>
      </c>
    </row>
    <row r="32" spans="1:4" x14ac:dyDescent="0.35">
      <c r="A32" s="4">
        <v>30</v>
      </c>
      <c r="B32" s="5" t="s">
        <v>31</v>
      </c>
      <c r="C32" s="8">
        <v>6889.45</v>
      </c>
      <c r="D32" s="8">
        <f>((C32-'2021'!C32)/'2021'!C32)*100</f>
        <v>5.7655256689934813</v>
      </c>
    </row>
    <row r="33" spans="1:4" x14ac:dyDescent="0.35">
      <c r="A33" s="4">
        <v>31</v>
      </c>
      <c r="B33" s="5" t="s">
        <v>32</v>
      </c>
      <c r="C33" s="8">
        <v>38475.99</v>
      </c>
      <c r="D33" s="8">
        <f>((C33-'2021'!C33)/'2021'!C33)*100</f>
        <v>6.2542441920673761</v>
      </c>
    </row>
    <row r="34" spans="1:4" x14ac:dyDescent="0.35">
      <c r="A34" s="4">
        <v>32</v>
      </c>
      <c r="B34" s="5" t="s">
        <v>33</v>
      </c>
      <c r="C34" s="8">
        <v>10365.44</v>
      </c>
      <c r="D34" s="8">
        <f>((C34-'2021'!C34)/'2021'!C34)*100</f>
        <v>5.5328853593972767</v>
      </c>
    </row>
    <row r="35" spans="1:4" x14ac:dyDescent="0.35">
      <c r="A35" s="4">
        <v>33</v>
      </c>
      <c r="B35" s="5" t="s">
        <v>34</v>
      </c>
      <c r="C35" s="8">
        <v>152995.41</v>
      </c>
      <c r="D35" s="8">
        <f>((C35-'2021'!C35)/'2021'!C35)*100</f>
        <v>5.7294942378115605</v>
      </c>
    </row>
    <row r="36" spans="1:4" x14ac:dyDescent="0.35">
      <c r="A36" s="4">
        <v>34</v>
      </c>
      <c r="B36" s="5" t="s">
        <v>35</v>
      </c>
      <c r="C36" s="8">
        <v>8039.47</v>
      </c>
      <c r="D36" s="8">
        <f>((C36-'2021'!C36)/'2021'!C36)*100</f>
        <v>5.7617651276263002</v>
      </c>
    </row>
    <row r="37" spans="1:4" x14ac:dyDescent="0.35">
      <c r="A37" s="4">
        <v>35</v>
      </c>
      <c r="B37" s="5" t="s">
        <v>36</v>
      </c>
      <c r="C37" s="8">
        <v>11873.2</v>
      </c>
      <c r="D37" s="8">
        <f>((C37-'2021'!C37)/'2021'!C37)*100</f>
        <v>5.1631183310939441</v>
      </c>
    </row>
    <row r="38" spans="1:4" x14ac:dyDescent="0.35">
      <c r="A38" s="6" t="s">
        <v>37</v>
      </c>
      <c r="B38" s="6"/>
      <c r="C38" s="9">
        <f>SUM(C3:C37)</f>
        <v>1049295.0899999999</v>
      </c>
      <c r="D38" s="9">
        <f>((C38-'2021'!C38)/'2021'!C38)*100</f>
        <v>5.301162080481693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D3" sqref="D3"/>
    </sheetView>
  </sheetViews>
  <sheetFormatPr defaultRowHeight="14.5" x14ac:dyDescent="0.35"/>
  <cols>
    <col min="2" max="2" width="21.6328125" bestFit="1" customWidth="1"/>
    <col min="3" max="4" width="13.6328125" customWidth="1"/>
  </cols>
  <sheetData>
    <row r="1" spans="1:4" ht="35" customHeight="1" x14ac:dyDescent="0.35">
      <c r="A1" s="1" t="s">
        <v>40</v>
      </c>
      <c r="B1" s="1"/>
      <c r="C1" s="1"/>
      <c r="D1" s="1"/>
    </row>
    <row r="2" spans="1:4" ht="29" x14ac:dyDescent="0.35">
      <c r="A2" s="2" t="s">
        <v>0</v>
      </c>
      <c r="B2" s="3" t="s">
        <v>1</v>
      </c>
      <c r="C2" s="3" t="s">
        <v>38</v>
      </c>
      <c r="D2" s="7" t="s">
        <v>39</v>
      </c>
    </row>
    <row r="3" spans="1:4" x14ac:dyDescent="0.35">
      <c r="A3" s="4">
        <v>1</v>
      </c>
      <c r="B3" s="5" t="s">
        <v>2</v>
      </c>
      <c r="C3" s="8">
        <v>101839.74</v>
      </c>
      <c r="D3" s="8">
        <f>((C3-'2022'!C3)/'2022'!C3)*100</f>
        <v>5.3392794046702008</v>
      </c>
    </row>
    <row r="4" spans="1:4" x14ac:dyDescent="0.35">
      <c r="A4" s="4">
        <v>2</v>
      </c>
      <c r="B4" s="5" t="s">
        <v>3</v>
      </c>
      <c r="C4" s="8">
        <v>45396.3</v>
      </c>
      <c r="D4" s="8">
        <f>((C4-'2022'!C4)/'2022'!C4)*100</f>
        <v>5.4024309546198657</v>
      </c>
    </row>
    <row r="5" spans="1:4" x14ac:dyDescent="0.35">
      <c r="A5" s="4">
        <v>3</v>
      </c>
      <c r="B5" s="5" t="s">
        <v>4</v>
      </c>
      <c r="C5" s="8">
        <v>19533.86</v>
      </c>
      <c r="D5" s="8">
        <f>((C5-'2022'!C5)/'2022'!C5)*100</f>
        <v>4.5109527557243672</v>
      </c>
    </row>
    <row r="6" spans="1:4" x14ac:dyDescent="0.35">
      <c r="A6" s="4">
        <v>4</v>
      </c>
      <c r="B6" s="5" t="s">
        <v>5</v>
      </c>
      <c r="C6" s="8">
        <v>17174.39</v>
      </c>
      <c r="D6" s="8">
        <f>((C6-'2022'!C6)/'2022'!C6)*100</f>
        <v>4.9836451983023453</v>
      </c>
    </row>
    <row r="7" spans="1:4" x14ac:dyDescent="0.35">
      <c r="A7" s="4">
        <v>5</v>
      </c>
      <c r="B7" s="5" t="s">
        <v>6</v>
      </c>
      <c r="C7" s="8">
        <v>22638.9</v>
      </c>
      <c r="D7" s="8">
        <f>((C7-'2022'!C7)/'2022'!C7)*100</f>
        <v>5.6619149165561717</v>
      </c>
    </row>
    <row r="8" spans="1:4" x14ac:dyDescent="0.35">
      <c r="A8" s="4">
        <v>6</v>
      </c>
      <c r="B8" s="5" t="s">
        <v>7</v>
      </c>
      <c r="C8" s="8">
        <v>15025.91</v>
      </c>
      <c r="D8" s="8">
        <f>((C8-'2022'!C8)/'2022'!C8)*100</f>
        <v>5.0721789915919402</v>
      </c>
    </row>
    <row r="9" spans="1:4" x14ac:dyDescent="0.35">
      <c r="A9" s="4">
        <v>7</v>
      </c>
      <c r="B9" s="5" t="s">
        <v>8</v>
      </c>
      <c r="C9" s="8">
        <v>15405.98</v>
      </c>
      <c r="D9" s="8">
        <f>((C9-'2022'!C9)/'2022'!C9)*100</f>
        <v>4.3023594326529198</v>
      </c>
    </row>
    <row r="10" spans="1:4" x14ac:dyDescent="0.35">
      <c r="A10" s="4">
        <v>8</v>
      </c>
      <c r="B10" s="5" t="s">
        <v>9</v>
      </c>
      <c r="C10" s="8">
        <v>26211.56</v>
      </c>
      <c r="D10" s="8">
        <f>((C10-'2022'!C10)/'2022'!C10)*100</f>
        <v>5.0429644638478983</v>
      </c>
    </row>
    <row r="11" spans="1:4" x14ac:dyDescent="0.35">
      <c r="A11" s="4">
        <v>9</v>
      </c>
      <c r="B11" s="5" t="s">
        <v>10</v>
      </c>
      <c r="C11" s="8">
        <v>26333.279999999999</v>
      </c>
      <c r="D11" s="8">
        <f>((C11-'2022'!C11)/'2022'!C11)*100</f>
        <v>5.623373029083921</v>
      </c>
    </row>
    <row r="12" spans="1:4" x14ac:dyDescent="0.35">
      <c r="A12" s="4">
        <v>10</v>
      </c>
      <c r="B12" s="5" t="s">
        <v>11</v>
      </c>
      <c r="C12" s="8">
        <v>31938.33</v>
      </c>
      <c r="D12" s="8">
        <f>((C12-'2022'!C12)/'2022'!C12)*100</f>
        <v>5.7036278031625445</v>
      </c>
    </row>
    <row r="13" spans="1:4" x14ac:dyDescent="0.35">
      <c r="A13" s="4">
        <v>11</v>
      </c>
      <c r="B13" s="5" t="s">
        <v>12</v>
      </c>
      <c r="C13" s="8">
        <v>30662.65</v>
      </c>
      <c r="D13" s="8">
        <f>((C13-'2022'!C13)/'2022'!C13)*100</f>
        <v>5.0617861358524152</v>
      </c>
    </row>
    <row r="14" spans="1:4" x14ac:dyDescent="0.35">
      <c r="A14" s="4">
        <v>12</v>
      </c>
      <c r="B14" s="5" t="s">
        <v>13</v>
      </c>
      <c r="C14" s="8">
        <v>23566.880000000001</v>
      </c>
      <c r="D14" s="8">
        <f>((C14-'2022'!C14)/'2022'!C14)*100</f>
        <v>4.9813730281090649</v>
      </c>
    </row>
    <row r="15" spans="1:4" x14ac:dyDescent="0.35">
      <c r="A15" s="4">
        <v>13</v>
      </c>
      <c r="B15" s="5" t="s">
        <v>14</v>
      </c>
      <c r="C15" s="8">
        <v>30208.240000000002</v>
      </c>
      <c r="D15" s="8">
        <f>((C15-'2022'!C15)/'2022'!C15)*100</f>
        <v>5.5310062990415014</v>
      </c>
    </row>
    <row r="16" spans="1:4" x14ac:dyDescent="0.35">
      <c r="A16" s="4">
        <v>14</v>
      </c>
      <c r="B16" s="5" t="s">
        <v>15</v>
      </c>
      <c r="C16" s="8">
        <v>30442.19</v>
      </c>
      <c r="D16" s="8">
        <f>((C16-'2022'!C16)/'2022'!C16)*100</f>
        <v>5.2277564214904881</v>
      </c>
    </row>
    <row r="17" spans="1:4" x14ac:dyDescent="0.35">
      <c r="A17" s="4">
        <v>15</v>
      </c>
      <c r="B17" s="5" t="s">
        <v>16</v>
      </c>
      <c r="C17" s="8">
        <v>22381</v>
      </c>
      <c r="D17" s="8">
        <f>((C17-'2022'!C17)/'2022'!C17)*100</f>
        <v>4.985608514055623</v>
      </c>
    </row>
    <row r="18" spans="1:4" x14ac:dyDescent="0.35">
      <c r="A18" s="4">
        <v>16</v>
      </c>
      <c r="B18" s="5" t="s">
        <v>17</v>
      </c>
      <c r="C18" s="8">
        <v>19188.79</v>
      </c>
      <c r="D18" s="8">
        <f>((C18-'2022'!C18)/'2022'!C18)*100</f>
        <v>3.1129278663735502</v>
      </c>
    </row>
    <row r="19" spans="1:4" x14ac:dyDescent="0.35">
      <c r="A19" s="4">
        <v>17</v>
      </c>
      <c r="B19" s="5" t="s">
        <v>18</v>
      </c>
      <c r="C19" s="8">
        <v>15463.55</v>
      </c>
      <c r="D19" s="8">
        <f>((C19-'2022'!C19)/'2022'!C19)*100</f>
        <v>5.202519382481877</v>
      </c>
    </row>
    <row r="20" spans="1:4" x14ac:dyDescent="0.35">
      <c r="A20" s="4">
        <v>18</v>
      </c>
      <c r="B20" s="5" t="s">
        <v>19</v>
      </c>
      <c r="C20" s="8">
        <v>34984.79</v>
      </c>
      <c r="D20" s="8">
        <f>((C20-'2022'!C20)/'2022'!C20)*100</f>
        <v>5.0203858145230198</v>
      </c>
    </row>
    <row r="21" spans="1:4" x14ac:dyDescent="0.35">
      <c r="A21" s="4">
        <v>19</v>
      </c>
      <c r="B21" s="5" t="s">
        <v>20</v>
      </c>
      <c r="C21" s="8">
        <v>72980.27</v>
      </c>
      <c r="D21" s="8">
        <f>((C21-'2022'!C21)/'2022'!C21)*100</f>
        <v>2.1890327685606357</v>
      </c>
    </row>
    <row r="22" spans="1:4" x14ac:dyDescent="0.35">
      <c r="A22" s="4">
        <v>20</v>
      </c>
      <c r="B22" s="5" t="s">
        <v>21</v>
      </c>
      <c r="C22" s="8">
        <v>24451.040000000001</v>
      </c>
      <c r="D22" s="8">
        <f>((C22-'2022'!C22)/'2022'!C22)*100</f>
        <v>5.1664419340339931</v>
      </c>
    </row>
    <row r="23" spans="1:4" x14ac:dyDescent="0.35">
      <c r="A23" s="4">
        <v>21</v>
      </c>
      <c r="B23" s="5" t="s">
        <v>22</v>
      </c>
      <c r="C23" s="8">
        <v>20839.75</v>
      </c>
      <c r="D23" s="8">
        <f>((C23-'2022'!C23)/'2022'!C23)*100</f>
        <v>5.0050311315435563</v>
      </c>
    </row>
    <row r="24" spans="1:4" x14ac:dyDescent="0.35">
      <c r="A24" s="4">
        <v>22</v>
      </c>
      <c r="B24" s="5" t="s">
        <v>23</v>
      </c>
      <c r="C24" s="8">
        <v>39651.89</v>
      </c>
      <c r="D24" s="8">
        <f>((C24-'2022'!C24)/'2022'!C24)*100</f>
        <v>4.738691401957638</v>
      </c>
    </row>
    <row r="25" spans="1:4" x14ac:dyDescent="0.35">
      <c r="A25" s="4">
        <v>23</v>
      </c>
      <c r="B25" s="5" t="s">
        <v>24</v>
      </c>
      <c r="C25" s="8">
        <v>16998.53</v>
      </c>
      <c r="D25" s="8">
        <f>((C25-'2022'!C25)/'2022'!C25)*100</f>
        <v>5.0110672703471781</v>
      </c>
    </row>
    <row r="26" spans="1:4" x14ac:dyDescent="0.35">
      <c r="A26" s="4">
        <v>24</v>
      </c>
      <c r="B26" s="5" t="s">
        <v>25</v>
      </c>
      <c r="C26" s="8">
        <v>35287.699999999997</v>
      </c>
      <c r="D26" s="8">
        <f>((C26-'2022'!C26)/'2022'!C26)*100</f>
        <v>5.5602687011501351</v>
      </c>
    </row>
    <row r="27" spans="1:4" x14ac:dyDescent="0.35">
      <c r="A27" s="4">
        <v>25</v>
      </c>
      <c r="B27" s="5" t="s">
        <v>26</v>
      </c>
      <c r="C27" s="8">
        <v>17629.39</v>
      </c>
      <c r="D27" s="8">
        <f>((C27-'2022'!C27)/'2022'!C27)*100</f>
        <v>5.533675865714363</v>
      </c>
    </row>
    <row r="28" spans="1:4" x14ac:dyDescent="0.35">
      <c r="A28" s="4">
        <v>26</v>
      </c>
      <c r="B28" s="5" t="s">
        <v>27</v>
      </c>
      <c r="C28" s="8">
        <v>18360.810000000001</v>
      </c>
      <c r="D28" s="8">
        <f>((C28-'2022'!C28)/'2022'!C28)*100</f>
        <v>5.1386841752646566</v>
      </c>
    </row>
    <row r="29" spans="1:4" x14ac:dyDescent="0.35">
      <c r="A29" s="4">
        <v>27</v>
      </c>
      <c r="B29" s="5" t="s">
        <v>28</v>
      </c>
      <c r="C29" s="8">
        <v>20719.54</v>
      </c>
      <c r="D29" s="8">
        <f>((C29-'2022'!C29)/'2022'!C29)*100</f>
        <v>4.1432020925608297</v>
      </c>
    </row>
    <row r="30" spans="1:4" x14ac:dyDescent="0.35">
      <c r="A30" s="4">
        <v>28</v>
      </c>
      <c r="B30" s="5" t="s">
        <v>29</v>
      </c>
      <c r="C30" s="8">
        <v>28022.85</v>
      </c>
      <c r="D30" s="8">
        <f>((C30-'2022'!C30)/'2022'!C30)*100</f>
        <v>4.9337827327714647</v>
      </c>
    </row>
    <row r="31" spans="1:4" x14ac:dyDescent="0.35">
      <c r="A31" s="4">
        <v>29</v>
      </c>
      <c r="B31" s="5" t="s">
        <v>30</v>
      </c>
      <c r="C31" s="8">
        <v>36702.959999999999</v>
      </c>
      <c r="D31" s="8">
        <f>((C31-'2022'!C31)/'2022'!C31)*100</f>
        <v>3.7433635747701746</v>
      </c>
    </row>
    <row r="32" spans="1:4" x14ac:dyDescent="0.35">
      <c r="A32" s="4">
        <v>30</v>
      </c>
      <c r="B32" s="5" t="s">
        <v>31</v>
      </c>
      <c r="C32" s="8">
        <v>7264.92</v>
      </c>
      <c r="D32" s="8">
        <f>((C32-'2022'!C32)/'2022'!C32)*100</f>
        <v>5.4499270623925025</v>
      </c>
    </row>
    <row r="33" spans="1:4" x14ac:dyDescent="0.35">
      <c r="A33" s="4">
        <v>31</v>
      </c>
      <c r="B33" s="5" t="s">
        <v>32</v>
      </c>
      <c r="C33" s="8">
        <v>40620.31</v>
      </c>
      <c r="D33" s="8">
        <f>((C33-'2022'!C33)/'2022'!C33)*100</f>
        <v>5.5731379491469868</v>
      </c>
    </row>
    <row r="34" spans="1:4" x14ac:dyDescent="0.35">
      <c r="A34" s="4">
        <v>32</v>
      </c>
      <c r="B34" s="5" t="s">
        <v>33</v>
      </c>
      <c r="C34" s="8">
        <v>10918.73</v>
      </c>
      <c r="D34" s="8">
        <f>((C34-'2022'!C34)/'2022'!C34)*100</f>
        <v>5.3378341874536828</v>
      </c>
    </row>
    <row r="35" spans="1:4" x14ac:dyDescent="0.35">
      <c r="A35" s="4">
        <v>33</v>
      </c>
      <c r="B35" s="5" t="s">
        <v>34</v>
      </c>
      <c r="C35" s="8">
        <v>161848.29999999999</v>
      </c>
      <c r="D35" s="8">
        <f>((C35-'2022'!C35)/'2022'!C35)*100</f>
        <v>5.7863762056652446</v>
      </c>
    </row>
    <row r="36" spans="1:4" x14ac:dyDescent="0.35">
      <c r="A36" s="4">
        <v>34</v>
      </c>
      <c r="B36" s="5" t="s">
        <v>35</v>
      </c>
      <c r="C36" s="8">
        <v>8476.5499999999993</v>
      </c>
      <c r="D36" s="8">
        <f>((C36-'2022'!C36)/'2022'!C36)*100</f>
        <v>5.4366767958584212</v>
      </c>
    </row>
    <row r="37" spans="1:4" x14ac:dyDescent="0.35">
      <c r="A37" s="4">
        <v>35</v>
      </c>
      <c r="B37" s="5" t="s">
        <v>36</v>
      </c>
      <c r="C37" s="8">
        <v>12468.61</v>
      </c>
      <c r="D37" s="8">
        <f>((C37-'2022'!C37)/'2022'!C37)*100</f>
        <v>5.0147390762389232</v>
      </c>
    </row>
    <row r="38" spans="1:4" x14ac:dyDescent="0.35">
      <c r="A38" s="6" t="s">
        <v>37</v>
      </c>
      <c r="B38" s="6"/>
      <c r="C38" s="9">
        <f>SUM(C3:C37)</f>
        <v>1101638.4900000005</v>
      </c>
      <c r="D38" s="9">
        <f>((C38-'2022'!C38)/'2022'!C38)*100</f>
        <v>4.9884346642659514</v>
      </c>
    </row>
  </sheetData>
  <mergeCells count="2">
    <mergeCell ref="A1:D1"/>
    <mergeCell ref="A38:B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20" workbookViewId="0">
      <selection activeCell="G30" sqref="G30"/>
    </sheetView>
  </sheetViews>
  <sheetFormatPr defaultRowHeight="14.5" x14ac:dyDescent="0.35"/>
  <cols>
    <col min="2" max="2" width="21.6328125" bestFit="1" customWidth="1"/>
    <col min="3" max="4" width="13.6328125" customWidth="1"/>
  </cols>
  <sheetData>
    <row r="1" spans="1:4" ht="35" customHeight="1" x14ac:dyDescent="0.35">
      <c r="A1" s="1" t="s">
        <v>40</v>
      </c>
      <c r="B1" s="1"/>
      <c r="C1" s="1"/>
      <c r="D1" s="1"/>
    </row>
    <row r="2" spans="1:4" ht="29" x14ac:dyDescent="0.35">
      <c r="A2" s="2" t="s">
        <v>0</v>
      </c>
      <c r="B2" s="3" t="s">
        <v>1</v>
      </c>
      <c r="C2" s="3" t="s">
        <v>38</v>
      </c>
      <c r="D2" s="7" t="s">
        <v>39</v>
      </c>
    </row>
    <row r="3" spans="1:4" x14ac:dyDescent="0.35">
      <c r="A3" s="4">
        <v>1</v>
      </c>
      <c r="B3" s="5" t="s">
        <v>2</v>
      </c>
      <c r="C3" s="8">
        <v>104540.67</v>
      </c>
      <c r="D3" s="8">
        <f>((C3-'2023'!C3)/'2023'!C3)*100</f>
        <v>2.6521375643731937</v>
      </c>
    </row>
    <row r="4" spans="1:4" x14ac:dyDescent="0.35">
      <c r="A4" s="4">
        <v>2</v>
      </c>
      <c r="B4" s="5" t="s">
        <v>3</v>
      </c>
      <c r="C4" s="8">
        <v>47795.71</v>
      </c>
      <c r="D4" s="8">
        <f>((C4-'2023'!C4)/'2023'!C4)*100</f>
        <v>5.2854748074182165</v>
      </c>
    </row>
    <row r="5" spans="1:4" x14ac:dyDescent="0.35">
      <c r="A5" s="4">
        <v>3</v>
      </c>
      <c r="B5" s="5" t="s">
        <v>4</v>
      </c>
      <c r="C5" s="8">
        <v>20422.61</v>
      </c>
      <c r="D5" s="8">
        <f>((C5-'2023'!C5)/'2023'!C5)*100</f>
        <v>4.5497920021951623</v>
      </c>
    </row>
    <row r="6" spans="1:4" x14ac:dyDescent="0.35">
      <c r="A6" s="4">
        <v>4</v>
      </c>
      <c r="B6" s="5" t="s">
        <v>5</v>
      </c>
      <c r="C6" s="8">
        <v>18051.84</v>
      </c>
      <c r="D6" s="8">
        <f>((C6-'2023'!C6)/'2023'!C6)*100</f>
        <v>5.1090606420373632</v>
      </c>
    </row>
    <row r="7" spans="1:4" x14ac:dyDescent="0.35">
      <c r="A7" s="4">
        <v>5</v>
      </c>
      <c r="B7" s="5" t="s">
        <v>6</v>
      </c>
      <c r="C7" s="8">
        <v>23837.83</v>
      </c>
      <c r="D7" s="8">
        <f>((C7-'2023'!C7)/'2023'!C7)*100</f>
        <v>5.295884517357293</v>
      </c>
    </row>
    <row r="8" spans="1:4" x14ac:dyDescent="0.35">
      <c r="A8" s="4">
        <v>6</v>
      </c>
      <c r="B8" s="5" t="s">
        <v>7</v>
      </c>
      <c r="C8" s="8">
        <v>15745.98</v>
      </c>
      <c r="D8" s="8">
        <f>((C8-'2023'!C8)/'2023'!C8)*100</f>
        <v>4.7921889589382589</v>
      </c>
    </row>
    <row r="9" spans="1:4" x14ac:dyDescent="0.35">
      <c r="A9" s="4">
        <v>7</v>
      </c>
      <c r="B9" s="5" t="s">
        <v>8</v>
      </c>
      <c r="C9" s="8">
        <v>16109.38</v>
      </c>
      <c r="D9" s="8">
        <f>((C9-'2023'!C9)/'2023'!C9)*100</f>
        <v>4.5657595297410465</v>
      </c>
    </row>
    <row r="10" spans="1:4" x14ac:dyDescent="0.35">
      <c r="A10" s="4">
        <v>8</v>
      </c>
      <c r="B10" s="5" t="s">
        <v>9</v>
      </c>
      <c r="C10" s="8">
        <v>27538.21</v>
      </c>
      <c r="D10" s="8">
        <f>((C10-'2023'!C10)/'2023'!C10)*100</f>
        <v>5.0613164573188234</v>
      </c>
    </row>
    <row r="11" spans="1:4" x14ac:dyDescent="0.35">
      <c r="A11" s="4">
        <v>9</v>
      </c>
      <c r="B11" s="5" t="s">
        <v>10</v>
      </c>
      <c r="C11" s="8">
        <v>27556.18</v>
      </c>
      <c r="D11" s="8">
        <f>((C11-'2023'!C11)/'2023'!C11)*100</f>
        <v>4.6439334560677645</v>
      </c>
    </row>
    <row r="12" spans="1:4" x14ac:dyDescent="0.35">
      <c r="A12" s="4">
        <v>10</v>
      </c>
      <c r="B12" s="5" t="s">
        <v>11</v>
      </c>
      <c r="C12" s="8">
        <v>33568.92</v>
      </c>
      <c r="D12" s="8">
        <f>((C12-'2023'!C12)/'2023'!C12)*100</f>
        <v>5.1054328764215171</v>
      </c>
    </row>
    <row r="13" spans="1:4" x14ac:dyDescent="0.35">
      <c r="A13" s="4">
        <v>11</v>
      </c>
      <c r="B13" s="5" t="s">
        <v>12</v>
      </c>
      <c r="C13" s="8">
        <v>32187.41</v>
      </c>
      <c r="D13" s="8">
        <f>((C13-'2023'!C13)/'2023'!C13)*100</f>
        <v>4.9726947931767098</v>
      </c>
    </row>
    <row r="14" spans="1:4" x14ac:dyDescent="0.35">
      <c r="A14" s="4">
        <v>12</v>
      </c>
      <c r="B14" s="5" t="s">
        <v>13</v>
      </c>
      <c r="C14" s="8">
        <v>24728.69</v>
      </c>
      <c r="D14" s="8">
        <f>((C14-'2023'!C14)/'2023'!C14)*100</f>
        <v>4.9298422192500562</v>
      </c>
    </row>
    <row r="15" spans="1:4" x14ac:dyDescent="0.35">
      <c r="A15" s="4">
        <v>13</v>
      </c>
      <c r="B15" s="5" t="s">
        <v>14</v>
      </c>
      <c r="C15" s="8">
        <v>31883.1</v>
      </c>
      <c r="D15" s="8">
        <f>((C15-'2023'!C15)/'2023'!C15)*100</f>
        <v>5.544381268157287</v>
      </c>
    </row>
    <row r="16" spans="1:4" x14ac:dyDescent="0.35">
      <c r="A16" s="4">
        <v>14</v>
      </c>
      <c r="B16" s="5" t="s">
        <v>15</v>
      </c>
      <c r="C16" s="8">
        <v>32084.080000000002</v>
      </c>
      <c r="D16" s="8">
        <f>((C16-'2023'!C16)/'2023'!C16)*100</f>
        <v>5.3934687353308126</v>
      </c>
    </row>
    <row r="17" spans="1:4" x14ac:dyDescent="0.35">
      <c r="A17" s="4">
        <v>15</v>
      </c>
      <c r="B17" s="5" t="s">
        <v>16</v>
      </c>
      <c r="C17" s="8">
        <v>23591.06</v>
      </c>
      <c r="D17" s="8">
        <f>((C17-'2023'!C17)/'2023'!C17)*100</f>
        <v>5.4066395603413673</v>
      </c>
    </row>
    <row r="18" spans="1:4" x14ac:dyDescent="0.35">
      <c r="A18" s="4">
        <v>16</v>
      </c>
      <c r="B18" s="5" t="s">
        <v>17</v>
      </c>
      <c r="C18" s="8">
        <v>19776.060000000001</v>
      </c>
      <c r="D18" s="8">
        <f>((C18-'2023'!C18)/'2023'!C18)*100</f>
        <v>3.0604847934653536</v>
      </c>
    </row>
    <row r="19" spans="1:4" x14ac:dyDescent="0.35">
      <c r="A19" s="4">
        <v>17</v>
      </c>
      <c r="B19" s="5" t="s">
        <v>18</v>
      </c>
      <c r="C19" s="8">
        <v>16248.58</v>
      </c>
      <c r="D19" s="8">
        <f>((C19-'2023'!C19)/'2023'!C19)*100</f>
        <v>5.0766479883338604</v>
      </c>
    </row>
    <row r="20" spans="1:4" x14ac:dyDescent="0.35">
      <c r="A20" s="4">
        <v>18</v>
      </c>
      <c r="B20" s="5" t="s">
        <v>19</v>
      </c>
      <c r="C20" s="8">
        <v>36780.74</v>
      </c>
      <c r="D20" s="8">
        <f>((C20-'2023'!C20)/'2023'!C20)*100</f>
        <v>5.1335165939255232</v>
      </c>
    </row>
    <row r="21" spans="1:4" x14ac:dyDescent="0.35">
      <c r="A21" s="4">
        <v>19</v>
      </c>
      <c r="B21" s="5" t="s">
        <v>20</v>
      </c>
      <c r="C21" s="8">
        <v>75010.789999999994</v>
      </c>
      <c r="D21" s="8">
        <f>((C21-'2023'!C21)/'2023'!C21)*100</f>
        <v>2.7822862261265811</v>
      </c>
    </row>
    <row r="22" spans="1:4" x14ac:dyDescent="0.35">
      <c r="A22" s="4">
        <v>20</v>
      </c>
      <c r="B22" s="5" t="s">
        <v>21</v>
      </c>
      <c r="C22" s="8">
        <v>25482.07</v>
      </c>
      <c r="D22" s="8">
        <f>((C22-'2023'!C22)/'2023'!C22)*100</f>
        <v>4.2167122543662714</v>
      </c>
    </row>
    <row r="23" spans="1:4" x14ac:dyDescent="0.35">
      <c r="A23" s="4">
        <v>21</v>
      </c>
      <c r="B23" s="5" t="s">
        <v>22</v>
      </c>
      <c r="C23" s="8">
        <v>21894.6</v>
      </c>
      <c r="D23" s="8">
        <f>((C23-'2023'!C23)/'2023'!C23)*100</f>
        <v>5.0617209899350932</v>
      </c>
    </row>
    <row r="24" spans="1:4" x14ac:dyDescent="0.35">
      <c r="A24" s="4">
        <v>22</v>
      </c>
      <c r="B24" s="5" t="s">
        <v>23</v>
      </c>
      <c r="C24" s="8">
        <v>41529.4</v>
      </c>
      <c r="D24" s="8">
        <f>((C24-'2023'!C24)/'2023'!C24)*100</f>
        <v>4.7349823678013889</v>
      </c>
    </row>
    <row r="25" spans="1:4" x14ac:dyDescent="0.35">
      <c r="A25" s="4">
        <v>23</v>
      </c>
      <c r="B25" s="5" t="s">
        <v>24</v>
      </c>
      <c r="C25" s="8">
        <v>17855.599999999999</v>
      </c>
      <c r="D25" s="8">
        <f>((C25-'2023'!C25)/'2023'!C25)*100</f>
        <v>5.0420242220944971</v>
      </c>
    </row>
    <row r="26" spans="1:4" x14ac:dyDescent="0.35">
      <c r="A26" s="4">
        <v>24</v>
      </c>
      <c r="B26" s="5" t="s">
        <v>25</v>
      </c>
      <c r="C26" s="8">
        <v>37201.449999999997</v>
      </c>
      <c r="D26" s="8">
        <f>((C26-'2023'!C26)/'2023'!C26)*100</f>
        <v>5.4232777993465149</v>
      </c>
    </row>
    <row r="27" spans="1:4" x14ac:dyDescent="0.35">
      <c r="A27" s="4">
        <v>25</v>
      </c>
      <c r="B27" s="5" t="s">
        <v>26</v>
      </c>
      <c r="C27" s="8">
        <v>18693.22</v>
      </c>
      <c r="D27" s="8">
        <f>((C27-'2023'!C27)/'2023'!C27)*100</f>
        <v>6.0344118542955929</v>
      </c>
    </row>
    <row r="28" spans="1:4" x14ac:dyDescent="0.35">
      <c r="A28" s="4">
        <v>26</v>
      </c>
      <c r="B28" s="5" t="s">
        <v>27</v>
      </c>
      <c r="C28" s="8">
        <v>19283.060000000001</v>
      </c>
      <c r="D28" s="8">
        <f>((C28-'2023'!C28)/'2023'!C28)*100</f>
        <v>5.0229265484474812</v>
      </c>
    </row>
    <row r="29" spans="1:4" x14ac:dyDescent="0.35">
      <c r="A29" s="4">
        <v>27</v>
      </c>
      <c r="B29" s="5" t="s">
        <v>28</v>
      </c>
      <c r="C29" s="8">
        <v>21778.06</v>
      </c>
      <c r="D29" s="8">
        <f>((C29-'2023'!C29)/'2023'!C29)*100</f>
        <v>5.1088006780073325</v>
      </c>
    </row>
    <row r="30" spans="1:4" x14ac:dyDescent="0.35">
      <c r="A30" s="4">
        <v>28</v>
      </c>
      <c r="B30" s="5" t="s">
        <v>29</v>
      </c>
      <c r="C30" s="8">
        <v>29444.38</v>
      </c>
      <c r="D30" s="8">
        <f>((C30-'2023'!C30)/'2023'!C30)*100</f>
        <v>5.0727531282507048</v>
      </c>
    </row>
    <row r="31" spans="1:4" x14ac:dyDescent="0.35">
      <c r="A31" s="4">
        <v>29</v>
      </c>
      <c r="B31" s="5" t="s">
        <v>30</v>
      </c>
      <c r="C31" s="8">
        <v>38546.980000000003</v>
      </c>
      <c r="D31" s="8">
        <f>((C31-'2023'!C31)/'2023'!C31)*100</f>
        <v>5.024172437318418</v>
      </c>
    </row>
    <row r="32" spans="1:4" x14ac:dyDescent="0.35">
      <c r="A32" s="4">
        <v>30</v>
      </c>
      <c r="B32" s="5" t="s">
        <v>31</v>
      </c>
      <c r="C32" s="8">
        <v>7668.79</v>
      </c>
      <c r="D32" s="8">
        <f>((C32-'2023'!C32)/'2023'!C32)*100</f>
        <v>5.5591802800306116</v>
      </c>
    </row>
    <row r="33" spans="1:4" x14ac:dyDescent="0.35">
      <c r="A33" s="4">
        <v>31</v>
      </c>
      <c r="B33" s="5" t="s">
        <v>32</v>
      </c>
      <c r="C33" s="8">
        <v>42897.32</v>
      </c>
      <c r="D33" s="8">
        <f>((C33-'2023'!C33)/'2023'!C33)*100</f>
        <v>5.6055948366716111</v>
      </c>
    </row>
    <row r="34" spans="1:4" x14ac:dyDescent="0.35">
      <c r="A34" s="4">
        <v>32</v>
      </c>
      <c r="B34" s="5" t="s">
        <v>33</v>
      </c>
      <c r="C34" s="8">
        <v>11505.05</v>
      </c>
      <c r="D34" s="8">
        <f>((C34-'2023'!C34)/'2023'!C34)*100</f>
        <v>5.3698552853674348</v>
      </c>
    </row>
    <row r="35" spans="1:4" x14ac:dyDescent="0.35">
      <c r="A35" s="4">
        <v>33</v>
      </c>
      <c r="B35" s="5" t="s">
        <v>34</v>
      </c>
      <c r="C35" s="8">
        <v>170947.72</v>
      </c>
      <c r="D35" s="8">
        <f>((C35-'2023'!C35)/'2023'!C35)*100</f>
        <v>5.6221906563121227</v>
      </c>
    </row>
    <row r="36" spans="1:4" x14ac:dyDescent="0.35">
      <c r="A36" s="4">
        <v>34</v>
      </c>
      <c r="B36" s="5" t="s">
        <v>35</v>
      </c>
      <c r="C36" s="8">
        <v>8928.7999999999993</v>
      </c>
      <c r="D36" s="8">
        <f>((C36-'2023'!C36)/'2023'!C36)*100</f>
        <v>5.3353074069049322</v>
      </c>
    </row>
    <row r="37" spans="1:4" x14ac:dyDescent="0.35">
      <c r="A37" s="4">
        <v>35</v>
      </c>
      <c r="B37" s="5" t="s">
        <v>36</v>
      </c>
      <c r="C37" s="8">
        <v>13119.7</v>
      </c>
      <c r="D37" s="8">
        <f>((C37-'2023'!C37)/'2023'!C37)*100</f>
        <v>5.2218330671983493</v>
      </c>
    </row>
    <row r="38" spans="1:4" x14ac:dyDescent="0.35">
      <c r="A38" s="6" t="s">
        <v>37</v>
      </c>
      <c r="B38" s="6"/>
      <c r="C38" s="9">
        <f>SUM(C3:C37)</f>
        <v>1154234.04</v>
      </c>
      <c r="D38" s="9">
        <f>((C38-'2023'!C38)/'2023'!C38)*100</f>
        <v>4.7743021397155037</v>
      </c>
    </row>
  </sheetData>
  <mergeCells count="2">
    <mergeCell ref="A1:D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2025-04-23T06:46:17Z</dcterms:modified>
</cp:coreProperties>
</file>