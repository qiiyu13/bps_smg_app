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4"/>
    <sheet state="visible" name="PDRB Perkapita_Smrg" sheetId="2" r:id="rId5"/>
    <sheet state="visible" name="2020" sheetId="3" r:id="rId6"/>
    <sheet state="visible" name="2021" sheetId="4" r:id="rId7"/>
    <sheet state="visible" name="2022" sheetId="5" r:id="rId8"/>
    <sheet state="visible" name="2023" sheetId="6" r:id="rId9"/>
    <sheet state="visible" name="2024" sheetId="7" r:id="rId10"/>
    <sheet state="visible" name="2025" sheetId="8" r:id="rId11"/>
  </sheets>
  <definedNames/>
  <calcPr/>
  <extLst>
    <ext uri="GoogleSheetsCustomDataVersion2">
      <go:sheetsCustomData xmlns:go="http://customooxmlschemas.google.com/" r:id="rId12" roundtripDataChecksum="aGG+PGaaxWSXT+MeJ7OmGoXtiNNh2Dn4YbbwDOfpQJ0="/>
    </ext>
  </extLst>
</workbook>
</file>

<file path=xl/sharedStrings.xml><?xml version="1.0" encoding="utf-8"?>
<sst xmlns="http://schemas.openxmlformats.org/spreadsheetml/2006/main" count="570" uniqueCount="95">
  <si>
    <t>No</t>
  </si>
  <si>
    <t>Kabupaten/Kota</t>
  </si>
  <si>
    <t>PDRB ADHK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</si>
  <si>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</si>
  <si>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</si>
  <si>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</si>
  <si>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</si>
  <si>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</si>
  <si>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</si>
  <si>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</si>
  <si>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</si>
  <si>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</si>
  <si>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</si>
  <si>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</si>
  <si>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</si>
  <si>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</si>
  <si>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</si>
  <si>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</si>
  <si>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</si>
  <si>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</si>
  <si>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</si>
  <si>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</si>
  <si>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</si>
  <si>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</si>
  <si>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</si>
  <si>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</si>
  <si>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</si>
  <si>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</si>
  <si>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</si>
  <si>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</si>
  <si>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</si>
  <si>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</si>
  <si>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</si>
  <si>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</si>
  <si>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</si>
  <si>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</si>
  <si>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</si>
  <si>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</si>
  <si>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</si>
  <si>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PDRB Atas Dasar Harga Konstan (Milyar Rupiah) dan Pertumbuhan Ekonomi (Persen) Kabupaten/Kota di Jawa Tengah</t>
  </si>
  <si>
    <t>Pertumbuhan Ekonomi</t>
  </si>
  <si>
    <t>PDRB Atas Dasar Harga Konstan (Milyar Rupiah) dan Pertumbuhan Ekonomi (Persen) Kabupaten/Kota di Jawa Tengah 6 maret 2026</t>
  </si>
  <si>
    <t xml:space="preserve">Kontribusi PDRB </t>
  </si>
  <si>
    <t>Sektor PDRB Lapangan Usaha Tahun Dasar 2010</t>
  </si>
  <si>
    <t>[Seri 2010] Distribusi PDRB Atas Dasar Harga Berlaku Menurut Lapangan Usaha (Persen)_2022 (Sektor Utama Terbesar)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</si>
  <si>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</si>
  <si>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</si>
  <si>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</si>
  <si>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</si>
  <si>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</si>
  <si>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</si>
  <si>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</si>
  <si>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</si>
  <si>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</si>
  <si>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</si>
  <si>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</si>
  <si>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</si>
  <si>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</si>
  <si>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</si>
  <si>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</si>
  <si>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</si>
  <si>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</si>
  <si>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</si>
  <si>
    <t>Perlu dibuatkan tabel baru</t>
  </si>
  <si>
    <t>Sektor Perdagangan</t>
  </si>
  <si>
    <t>(Sektor utama penyumbang pertumbuhan ekonomi di kota smrg, yg terbesar)</t>
  </si>
  <si>
    <t>Nilai PDRB Perkapita</t>
  </si>
  <si>
    <t>Ditanyakan k mas fiqi</t>
  </si>
  <si>
    <t>TPT</t>
  </si>
  <si>
    <t>Peringkat PDRB Jawa Tengah</t>
  </si>
  <si>
    <t>II</t>
  </si>
  <si>
    <t>[Seri 2010] Distribusi PDRB Atas Dasar Harga Berlaku Menurut Lapangan Usaha (Persen)_2023 (Sektor Utama Terbesar)</t>
  </si>
  <si>
    <t>[Seri 2010] Distribusi PDRB Atas Dasar Harga Berlaku Menurut Lapangan Usaha (Persen)_2024 (Sektor Utama Terbesar)</t>
  </si>
  <si>
    <t>[Seri 2010] Distribusi PDRB Atas Dasar Harga Berlaku Menurut Lapangan Usaha (Persen)_2025 (Sektor Utama Terbesar)</t>
  </si>
  <si>
    <t xml:space="preserve">F. Konstruksi                     </t>
  </si>
  <si>
    <t xml:space="preserve">L. Real Estate                 </t>
  </si>
  <si>
    <t xml:space="preserve">P. Jasa Pendidikan                       </t>
  </si>
  <si>
    <t xml:space="preserve">R,S,T,U. Jasa Lainnya              </t>
  </si>
  <si>
    <t xml:space="preserve">PDRB                                     </t>
  </si>
  <si>
    <t>III</t>
  </si>
  <si>
    <t>PDRB Perkapita</t>
  </si>
  <si>
    <t>PDRB per Kapita Atas Dasar Harga Berlaku (ribu rupiah), 2020-2025</t>
  </si>
  <si>
    <t>PDRB Perkapita (Ribu Rupiah)</t>
  </si>
  <si>
    <t>Tahun</t>
  </si>
  <si>
    <t>(1)</t>
  </si>
  <si>
    <t>(2)</t>
  </si>
  <si>
    <t>(3)</t>
  </si>
  <si>
    <t>(4)</t>
  </si>
  <si>
    <t>(5)</t>
  </si>
  <si>
    <t>(6)</t>
  </si>
  <si>
    <t>(7)</t>
  </si>
  <si>
    <t>BPS Kota Semarang</t>
  </si>
  <si>
    <t>TPT (Tingkat Pengangguran Terbuka)</t>
  </si>
  <si>
    <t>Tingkat Pengangguran Terbuka (TPT) Menurut Kabupaten/Kota di Jawa Tengah (Persen), 2020-2025</t>
  </si>
  <si>
    <t>TPT (Persen)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</si>
</sst>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rgb="FF000000"/>
      <name val="Calibri"/>
    </font>
    <font>
      <color theme="1"/>
      <name val="Calibri"/>
      <scheme val="minor"/>
    </font>
    <font>
      <sz val="12.0"/>
      <color rgb="FF000000"/>
      <name val="Calibri"/>
    </font>
    <font>
      <sz val="11.0"/>
      <color rgb="FF111111"/>
      <name val="Inter"/>
    </font>
    <font>
      <color rgb="FF00FF00"/>
      <name val="Calibri"/>
      <scheme val="minor"/>
    </font>
    <font>
      <b/>
      <color theme="1"/>
      <name val="Calibri"/>
      <scheme val="minor"/>
    </font>
    <font>
      <b/>
      <sz val="12.0"/>
      <color rgb="FFFFFFFF"/>
      <name val="Calibri"/>
    </font>
    <font>
      <b/>
      <sz val="12.0"/>
      <color rgb="FF38761D"/>
      <name val="Calibri"/>
    </font>
    <font>
      <b/>
      <color rgb="FF38761D"/>
      <name val="Calibri"/>
      <scheme val="minor"/>
    </font>
    <font>
      <i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BD5E1"/>
        <bgColor rgb="FFCBD5E1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  <fill>
      <patternFill patternType="solid">
        <fgColor rgb="FFF1F5F9"/>
        <bgColor rgb="FFF1F5F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2" fontId="2" numFmtId="4" xfId="0" applyAlignment="1" applyBorder="1" applyFont="1" applyNumberFormat="1">
      <alignment horizontal="right" vertical="center"/>
    </xf>
    <xf borderId="2" fillId="2" fontId="1" numFmtId="0" xfId="0" applyAlignment="1" applyBorder="1" applyFont="1">
      <alignment horizontal="center" vertical="center"/>
    </xf>
    <xf borderId="3" fillId="0" fontId="3" numFmtId="0" xfId="0" applyBorder="1" applyFont="1"/>
    <xf borderId="1" fillId="2" fontId="1" numFmtId="4" xfId="0" applyAlignment="1" applyBorder="1" applyFont="1" applyNumberFormat="1">
      <alignment horizontal="right" vertical="center"/>
    </xf>
    <xf borderId="2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1" fillId="2" fontId="2" numFmtId="4" xfId="0" applyAlignment="1" applyBorder="1" applyFont="1" applyNumberFormat="1">
      <alignment horizontal="right" readingOrder="0" vertical="center"/>
    </xf>
    <xf borderId="1" fillId="0" fontId="5" numFmtId="4" xfId="0" applyBorder="1" applyFont="1" applyNumberFormat="1"/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2" fontId="1" numFmtId="4" xfId="0" applyAlignment="1" applyBorder="1" applyFont="1" applyNumberFormat="1">
      <alignment horizontal="right" readingOrder="0" vertical="center"/>
    </xf>
    <xf borderId="0" fillId="3" fontId="7" numFmtId="4" xfId="0" applyAlignment="1" applyFill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9" numFmtId="4" xfId="0" applyBorder="1" applyFont="1" applyNumberFormat="1"/>
    <xf borderId="0" fillId="0" fontId="5" numFmtId="0" xfId="0" applyAlignment="1" applyFont="1">
      <alignment horizontal="right" readingOrder="0"/>
    </xf>
    <xf borderId="1" fillId="4" fontId="4" numFmtId="0" xfId="0" applyAlignment="1" applyBorder="1" applyFill="1" applyFont="1">
      <alignment horizontal="right" readingOrder="0" shrinkToFit="0" vertical="bottom" wrapText="0"/>
    </xf>
    <xf borderId="0" fillId="0" fontId="5" numFmtId="4" xfId="0" applyAlignment="1" applyFont="1" applyNumberFormat="1">
      <alignment readingOrder="0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1" fillId="0" fontId="5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5" fontId="10" numFmtId="0" xfId="0" applyAlignment="1" applyBorder="1" applyFill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2" numFmtId="0" xfId="0" applyBorder="1" applyFont="1"/>
    <xf borderId="1" fillId="0" fontId="11" numFmtId="0" xfId="0" applyAlignment="1" applyBorder="1" applyFont="1">
      <alignment horizontal="right" readingOrder="0" shrinkToFit="0" vertical="bottom" wrapText="0"/>
    </xf>
    <xf borderId="11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/>
    </xf>
    <xf borderId="12" fillId="0" fontId="3" numFmtId="0" xfId="0" applyBorder="1" applyFont="1"/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quotePrefix="1" borderId="1" fillId="0" fontId="13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3" fontId="7" numFmtId="3" xfId="0" applyAlignment="1" applyFont="1" applyNumberFormat="1">
      <alignment horizontal="center" readingOrder="0"/>
    </xf>
    <xf borderId="0" fillId="6" fontId="7" numFmtId="3" xfId="0" applyAlignment="1" applyFill="1" applyFont="1" applyNumberFormat="1">
      <alignment horizontal="center" readingOrder="0"/>
    </xf>
    <xf borderId="1" fillId="3" fontId="7" numFmtId="3" xfId="0" applyAlignment="1" applyBorder="1" applyFont="1" applyNumberFormat="1">
      <alignment horizontal="center" readingOrder="0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7" numFmtId="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3" width="10.57"/>
    <col customWidth="1" min="4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1.0</v>
      </c>
      <c r="B2" s="4" t="s">
        <v>3</v>
      </c>
      <c r="C2" s="5">
        <v>100327.3</v>
      </c>
    </row>
    <row r="3" ht="14.25" customHeight="1">
      <c r="A3" s="3">
        <v>2.0</v>
      </c>
      <c r="B3" s="4" t="s">
        <v>4</v>
      </c>
      <c r="C3" s="5">
        <v>39779.32</v>
      </c>
    </row>
    <row r="4" ht="14.25" customHeight="1">
      <c r="A4" s="3">
        <v>3.0</v>
      </c>
      <c r="B4" s="4" t="s">
        <v>5</v>
      </c>
      <c r="C4" s="5">
        <v>17387.61</v>
      </c>
    </row>
    <row r="5" ht="14.25" customHeight="1">
      <c r="A5" s="3">
        <v>4.0</v>
      </c>
      <c r="B5" s="4" t="s">
        <v>6</v>
      </c>
      <c r="C5" s="5">
        <v>15246.87</v>
      </c>
    </row>
    <row r="6" ht="14.25" customHeight="1">
      <c r="A6" s="3">
        <v>5.0</v>
      </c>
      <c r="B6" s="4" t="s">
        <v>7</v>
      </c>
      <c r="C6" s="5">
        <v>19815.06</v>
      </c>
    </row>
    <row r="7" ht="14.25" customHeight="1">
      <c r="A7" s="3">
        <v>6.0</v>
      </c>
      <c r="B7" s="4" t="s">
        <v>8</v>
      </c>
      <c r="C7" s="5">
        <v>13353.34</v>
      </c>
    </row>
    <row r="8" ht="14.25" customHeight="1">
      <c r="A8" s="3">
        <v>7.0</v>
      </c>
      <c r="B8" s="4" t="s">
        <v>9</v>
      </c>
      <c r="C8" s="5">
        <v>13793.04</v>
      </c>
    </row>
    <row r="9" ht="14.25" customHeight="1">
      <c r="A9" s="3">
        <v>8.0</v>
      </c>
      <c r="B9" s="4" t="s">
        <v>10</v>
      </c>
      <c r="C9" s="5">
        <v>23253.15</v>
      </c>
    </row>
    <row r="10" ht="14.25" customHeight="1">
      <c r="A10" s="3">
        <v>9.0</v>
      </c>
      <c r="B10" s="4" t="s">
        <v>11</v>
      </c>
      <c r="C10" s="5">
        <v>22681.1</v>
      </c>
    </row>
    <row r="11" ht="14.25" customHeight="1">
      <c r="A11" s="3">
        <v>10.0</v>
      </c>
      <c r="B11" s="4" t="s">
        <v>12</v>
      </c>
      <c r="C11" s="5">
        <v>27805.99</v>
      </c>
    </row>
    <row r="12" ht="14.25" customHeight="1">
      <c r="A12" s="3">
        <v>11.0</v>
      </c>
      <c r="B12" s="4" t="s">
        <v>13</v>
      </c>
      <c r="C12" s="5">
        <v>27076.44</v>
      </c>
    </row>
    <row r="13" ht="14.25" customHeight="1">
      <c r="A13" s="3">
        <v>12.0</v>
      </c>
      <c r="B13" s="4" t="s">
        <v>14</v>
      </c>
      <c r="C13" s="5">
        <v>20856.21</v>
      </c>
    </row>
    <row r="14" ht="14.25" customHeight="1">
      <c r="A14" s="3">
        <v>13.0</v>
      </c>
      <c r="B14" s="4" t="s">
        <v>15</v>
      </c>
      <c r="C14" s="5">
        <v>26599.74</v>
      </c>
    </row>
    <row r="15" ht="14.25" customHeight="1">
      <c r="A15" s="3">
        <v>14.0</v>
      </c>
      <c r="B15" s="4" t="s">
        <v>16</v>
      </c>
      <c r="C15" s="5">
        <v>26853.06</v>
      </c>
    </row>
    <row r="16" ht="14.25" customHeight="1">
      <c r="A16" s="3">
        <v>15.0</v>
      </c>
      <c r="B16" s="4" t="s">
        <v>17</v>
      </c>
      <c r="C16" s="5">
        <v>19692.63</v>
      </c>
    </row>
    <row r="17" ht="14.25" customHeight="1">
      <c r="A17" s="3">
        <v>16.0</v>
      </c>
      <c r="B17" s="4" t="s">
        <v>18</v>
      </c>
      <c r="C17" s="5">
        <v>18318.42</v>
      </c>
    </row>
    <row r="18" ht="14.25" customHeight="1">
      <c r="A18" s="3">
        <v>17.0</v>
      </c>
      <c r="B18" s="4" t="s">
        <v>19</v>
      </c>
      <c r="C18" s="5">
        <v>13612.34</v>
      </c>
    </row>
    <row r="19" ht="14.25" customHeight="1">
      <c r="A19" s="3">
        <v>18.0</v>
      </c>
      <c r="B19" s="4" t="s">
        <v>20</v>
      </c>
      <c r="C19" s="5">
        <v>30885.38</v>
      </c>
    </row>
    <row r="20" ht="14.25" customHeight="1">
      <c r="A20" s="3">
        <v>19.0</v>
      </c>
      <c r="B20" s="4" t="s">
        <v>21</v>
      </c>
      <c r="C20" s="5">
        <v>73241.78</v>
      </c>
    </row>
    <row r="21" ht="14.25" customHeight="1">
      <c r="A21" s="3">
        <v>20.0</v>
      </c>
      <c r="B21" s="4" t="s">
        <v>22</v>
      </c>
      <c r="C21" s="5">
        <v>21384.28</v>
      </c>
    </row>
    <row r="22" ht="14.25" customHeight="1">
      <c r="A22" s="3">
        <v>21.0</v>
      </c>
      <c r="B22" s="4" t="s">
        <v>23</v>
      </c>
      <c r="C22" s="5">
        <v>18417.01</v>
      </c>
    </row>
    <row r="23" ht="14.25" customHeight="1">
      <c r="A23" s="3">
        <v>22.0</v>
      </c>
      <c r="B23" s="4" t="s">
        <v>24</v>
      </c>
      <c r="C23" s="5">
        <v>35638.96</v>
      </c>
    </row>
    <row r="24" ht="14.25" customHeight="1">
      <c r="A24" s="3">
        <v>23.0</v>
      </c>
      <c r="B24" s="4" t="s">
        <v>25</v>
      </c>
      <c r="C24" s="5">
        <v>15214.06</v>
      </c>
    </row>
    <row r="25" ht="14.25" customHeight="1">
      <c r="A25" s="3">
        <v>24.0</v>
      </c>
      <c r="B25" s="4" t="s">
        <v>26</v>
      </c>
      <c r="C25" s="5">
        <v>30916.39</v>
      </c>
    </row>
    <row r="26" ht="14.25" customHeight="1">
      <c r="A26" s="3">
        <v>25.0</v>
      </c>
      <c r="B26" s="4" t="s">
        <v>27</v>
      </c>
      <c r="C26" s="5">
        <v>15226.79</v>
      </c>
    </row>
    <row r="27" ht="14.25" customHeight="1">
      <c r="A27" s="3">
        <v>26.0</v>
      </c>
      <c r="B27" s="4" t="s">
        <v>28</v>
      </c>
      <c r="C27" s="5">
        <v>16356.35</v>
      </c>
    </row>
    <row r="28" ht="14.25" customHeight="1">
      <c r="A28" s="3">
        <v>27.0</v>
      </c>
      <c r="B28" s="4" t="s">
        <v>29</v>
      </c>
      <c r="C28" s="5">
        <v>18267.2</v>
      </c>
    </row>
    <row r="29" ht="14.25" customHeight="1">
      <c r="A29" s="3">
        <v>28.0</v>
      </c>
      <c r="B29" s="4" t="s">
        <v>30</v>
      </c>
      <c r="C29" s="5">
        <v>24861.5</v>
      </c>
    </row>
    <row r="30" ht="14.25" customHeight="1">
      <c r="A30" s="3">
        <v>29.0</v>
      </c>
      <c r="B30" s="4" t="s">
        <v>31</v>
      </c>
      <c r="C30" s="5">
        <v>32847.86</v>
      </c>
    </row>
    <row r="31" ht="14.25" customHeight="1">
      <c r="A31" s="3">
        <v>30.0</v>
      </c>
      <c r="B31" s="4" t="s">
        <v>32</v>
      </c>
      <c r="C31" s="5">
        <v>6470.54</v>
      </c>
    </row>
    <row r="32" ht="14.25" customHeight="1">
      <c r="A32" s="3">
        <v>31.0</v>
      </c>
      <c r="B32" s="4" t="s">
        <v>33</v>
      </c>
      <c r="C32" s="5">
        <v>35441.11</v>
      </c>
    </row>
    <row r="33" ht="14.25" customHeight="1">
      <c r="A33" s="3">
        <v>32.0</v>
      </c>
      <c r="B33" s="4" t="s">
        <v>34</v>
      </c>
      <c r="C33" s="5">
        <v>9666.45</v>
      </c>
    </row>
    <row r="34" ht="14.25" customHeight="1">
      <c r="A34" s="3">
        <v>33.0</v>
      </c>
      <c r="B34" s="4" t="s">
        <v>35</v>
      </c>
      <c r="C34" s="5">
        <v>140199.52</v>
      </c>
    </row>
    <row r="35" ht="14.25" customHeight="1">
      <c r="A35" s="3">
        <v>34.0</v>
      </c>
      <c r="B35" s="4" t="s">
        <v>36</v>
      </c>
      <c r="C35" s="5">
        <v>7477.43</v>
      </c>
    </row>
    <row r="36" ht="14.25" customHeight="1">
      <c r="A36" s="3">
        <v>35.0</v>
      </c>
      <c r="B36" s="4" t="s">
        <v>37</v>
      </c>
      <c r="C36" s="5">
        <v>11205.78</v>
      </c>
    </row>
    <row r="37" ht="14.25" customHeight="1">
      <c r="A37" s="6" t="s">
        <v>38</v>
      </c>
      <c r="B37" s="7"/>
      <c r="C37" s="8">
        <f>SUM(C2:C36)</f>
        <v>990170.01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7:B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3.57"/>
    <col customWidth="1" min="5" max="26" width="8.71"/>
  </cols>
  <sheetData>
    <row r="1" ht="34.5" customHeight="1">
      <c r="A1" s="9" t="s">
        <v>39</v>
      </c>
      <c r="B1" s="10"/>
      <c r="C1" s="10"/>
      <c r="D1" s="7"/>
    </row>
    <row r="2" ht="14.25" customHeight="1">
      <c r="A2" s="1" t="s">
        <v>0</v>
      </c>
      <c r="B2" s="2" t="s">
        <v>1</v>
      </c>
      <c r="C2" s="2" t="s">
        <v>2</v>
      </c>
      <c r="D2" s="11" t="s">
        <v>40</v>
      </c>
    </row>
    <row r="3" ht="14.25" customHeight="1">
      <c r="A3" s="3">
        <v>1.0</v>
      </c>
      <c r="B3" s="4" t="s">
        <v>3</v>
      </c>
      <c r="C3" s="5">
        <v>90011.58</v>
      </c>
      <c r="D3" s="5">
        <f>((C3-Sheet6!C2)/Sheet6!C2)*100</f>
        <v>-10.2820668</v>
      </c>
    </row>
    <row r="4" ht="14.25" customHeight="1">
      <c r="A4" s="3">
        <v>2.0</v>
      </c>
      <c r="B4" s="4" t="s">
        <v>4</v>
      </c>
      <c r="C4" s="5">
        <v>39121.62</v>
      </c>
      <c r="D4" s="5">
        <f>((C4-Sheet6!C3)/Sheet6!C3)*100</f>
        <v>-1.653371651</v>
      </c>
    </row>
    <row r="5" ht="14.25" customHeight="1">
      <c r="A5" s="3">
        <v>3.0</v>
      </c>
      <c r="B5" s="4" t="s">
        <v>5</v>
      </c>
      <c r="C5" s="5">
        <v>17182.87</v>
      </c>
      <c r="D5" s="5">
        <f>((C5-Sheet6!C4)/Sheet6!C4)*100</f>
        <v>-1.177505132</v>
      </c>
    </row>
    <row r="6" ht="14.25" customHeight="1">
      <c r="A6" s="3">
        <v>4.0</v>
      </c>
      <c r="B6" s="4" t="s">
        <v>6</v>
      </c>
      <c r="C6" s="5">
        <v>15045.88</v>
      </c>
      <c r="D6" s="5">
        <f>((C6-Sheet6!C5)/Sheet6!C5)*100</f>
        <v>-1.318237776</v>
      </c>
    </row>
    <row r="7" ht="14.25" customHeight="1">
      <c r="A7" s="3">
        <v>5.0</v>
      </c>
      <c r="B7" s="4" t="s">
        <v>7</v>
      </c>
      <c r="C7" s="5">
        <v>19527.66</v>
      </c>
      <c r="D7" s="5">
        <f>((C7-Sheet6!C6)/Sheet6!C6)*100</f>
        <v>-1.450411959</v>
      </c>
    </row>
    <row r="8" ht="14.25" customHeight="1">
      <c r="A8" s="3">
        <v>6.0</v>
      </c>
      <c r="B8" s="4" t="s">
        <v>8</v>
      </c>
      <c r="C8" s="5">
        <v>13138.29</v>
      </c>
      <c r="D8" s="5">
        <f>((C8-Sheet6!C7)/Sheet6!C7)*100</f>
        <v>-1.610458507</v>
      </c>
    </row>
    <row r="9" ht="14.25" customHeight="1">
      <c r="A9" s="3">
        <v>7.0</v>
      </c>
      <c r="B9" s="4" t="s">
        <v>9</v>
      </c>
      <c r="C9" s="5">
        <v>13566.18</v>
      </c>
      <c r="D9" s="5">
        <f>((C9-Sheet6!C8)/Sheet6!C8)*100</f>
        <v>-1.644742566</v>
      </c>
    </row>
    <row r="10" ht="14.25" customHeight="1">
      <c r="A10" s="3">
        <v>8.0</v>
      </c>
      <c r="B10" s="4" t="s">
        <v>10</v>
      </c>
      <c r="C10" s="5">
        <v>22865.15</v>
      </c>
      <c r="D10" s="5">
        <f>((C10-Sheet6!C9)/Sheet6!C9)*100</f>
        <v>-1.668591137</v>
      </c>
    </row>
    <row r="11" ht="14.25" customHeight="1">
      <c r="A11" s="3">
        <v>9.0</v>
      </c>
      <c r="B11" s="4" t="s">
        <v>11</v>
      </c>
      <c r="C11" s="5">
        <v>22409.73</v>
      </c>
      <c r="D11" s="5">
        <f>((C11-Sheet6!C10)/Sheet6!C10)*100</f>
        <v>-1.196458726</v>
      </c>
    </row>
    <row r="12" ht="14.25" customHeight="1">
      <c r="A12" s="3">
        <v>10.0</v>
      </c>
      <c r="B12" s="4" t="s">
        <v>12</v>
      </c>
      <c r="C12" s="5">
        <v>27480.36</v>
      </c>
      <c r="D12" s="5">
        <f>((C12-Sheet6!C11)/Sheet6!C11)*100</f>
        <v>-1.171078606</v>
      </c>
    </row>
    <row r="13" ht="14.25" customHeight="1">
      <c r="A13" s="3">
        <v>11.0</v>
      </c>
      <c r="B13" s="4" t="s">
        <v>13</v>
      </c>
      <c r="C13" s="5">
        <v>26616.5</v>
      </c>
      <c r="D13" s="5">
        <f>((C13-Sheet6!C12)/Sheet6!C12)*100</f>
        <v>-1.698672351</v>
      </c>
    </row>
    <row r="14" ht="14.25" customHeight="1">
      <c r="A14" s="3">
        <v>12.0</v>
      </c>
      <c r="B14" s="4" t="s">
        <v>14</v>
      </c>
      <c r="C14" s="5">
        <v>20563.14</v>
      </c>
      <c r="D14" s="5">
        <f>((C14-Sheet6!C13)/Sheet6!C13)*100</f>
        <v>-1.405192986</v>
      </c>
    </row>
    <row r="15" ht="14.25" customHeight="1">
      <c r="A15" s="3">
        <v>13.0</v>
      </c>
      <c r="B15" s="4" t="s">
        <v>15</v>
      </c>
      <c r="C15" s="5">
        <v>26103.23</v>
      </c>
      <c r="D15" s="5">
        <f>((C15-Sheet6!C14)/Sheet6!C14)*100</f>
        <v>-1.866597192</v>
      </c>
    </row>
    <row r="16" ht="14.25" customHeight="1">
      <c r="A16" s="3">
        <v>14.0</v>
      </c>
      <c r="B16" s="4" t="s">
        <v>16</v>
      </c>
      <c r="C16" s="5">
        <v>26367.26</v>
      </c>
      <c r="D16" s="5">
        <f>((C16-Sheet6!C15)/Sheet6!C15)*100</f>
        <v>-1.80910481</v>
      </c>
    </row>
    <row r="17" ht="14.25" customHeight="1">
      <c r="A17" s="3">
        <v>15.0</v>
      </c>
      <c r="B17" s="4" t="s">
        <v>17</v>
      </c>
      <c r="C17" s="5">
        <v>19383.03</v>
      </c>
      <c r="D17" s="5">
        <f>((C17-Sheet6!C16)/Sheet6!C16)*100</f>
        <v>-1.572161768</v>
      </c>
    </row>
    <row r="18" ht="14.25" customHeight="1">
      <c r="A18" s="3">
        <v>16.0</v>
      </c>
      <c r="B18" s="4" t="s">
        <v>18</v>
      </c>
      <c r="C18" s="5">
        <v>17483.89</v>
      </c>
      <c r="D18" s="5">
        <f>((C18-Sheet6!C17)/Sheet6!C17)*100</f>
        <v>-4.555687663</v>
      </c>
    </row>
    <row r="19" ht="14.25" customHeight="1">
      <c r="A19" s="3">
        <v>17.0</v>
      </c>
      <c r="B19" s="4" t="s">
        <v>19</v>
      </c>
      <c r="C19" s="5">
        <v>13409.63</v>
      </c>
      <c r="D19" s="5">
        <f>((C19-Sheet6!C18)/Sheet6!C18)*100</f>
        <v>-1.489163509</v>
      </c>
    </row>
    <row r="20" ht="14.25" customHeight="1">
      <c r="A20" s="3">
        <v>18.0</v>
      </c>
      <c r="B20" s="4" t="s">
        <v>20</v>
      </c>
      <c r="C20" s="5">
        <v>30527.47</v>
      </c>
      <c r="D20" s="5">
        <f>((C20-Sheet6!C19)/Sheet6!C19)*100</f>
        <v>-1.158833079</v>
      </c>
    </row>
    <row r="21" ht="14.25" customHeight="1">
      <c r="A21" s="3">
        <v>19.0</v>
      </c>
      <c r="B21" s="4" t="s">
        <v>21</v>
      </c>
      <c r="C21" s="5">
        <v>70964.73</v>
      </c>
      <c r="D21" s="5">
        <f>((C21-Sheet6!C20)/Sheet6!C20)*100</f>
        <v>-3.108949564</v>
      </c>
    </row>
    <row r="22" ht="14.25" customHeight="1">
      <c r="A22" s="3">
        <v>20.0</v>
      </c>
      <c r="B22" s="4" t="s">
        <v>22</v>
      </c>
      <c r="C22" s="5">
        <v>20973.09</v>
      </c>
      <c r="D22" s="5">
        <f>((C22-Sheet6!C21)/Sheet6!C21)*100</f>
        <v>-1.922861092</v>
      </c>
    </row>
    <row r="23" ht="14.25" customHeight="1">
      <c r="A23" s="3">
        <v>21.0</v>
      </c>
      <c r="B23" s="4" t="s">
        <v>23</v>
      </c>
      <c r="C23" s="5">
        <v>18374.56</v>
      </c>
      <c r="D23" s="5">
        <f>((C23-Sheet6!C22)/Sheet6!C22)*100</f>
        <v>-0.2304934406</v>
      </c>
    </row>
    <row r="24" ht="14.25" customHeight="1">
      <c r="A24" s="3">
        <v>22.0</v>
      </c>
      <c r="B24" s="4" t="s">
        <v>24</v>
      </c>
      <c r="C24" s="5">
        <v>34688.04</v>
      </c>
      <c r="D24" s="5">
        <f>((C24-Sheet6!C23)/Sheet6!C23)*100</f>
        <v>-2.668203561</v>
      </c>
    </row>
    <row r="25" ht="14.25" customHeight="1">
      <c r="A25" s="3">
        <v>23.0</v>
      </c>
      <c r="B25" s="4" t="s">
        <v>25</v>
      </c>
      <c r="C25" s="5">
        <v>14890.76</v>
      </c>
      <c r="D25" s="5">
        <f>((C25-Sheet6!C24)/Sheet6!C24)*100</f>
        <v>-2.125008052</v>
      </c>
    </row>
    <row r="26" ht="14.25" customHeight="1">
      <c r="A26" s="3">
        <v>24.0</v>
      </c>
      <c r="B26" s="4" t="s">
        <v>26</v>
      </c>
      <c r="C26" s="5">
        <v>30449.02</v>
      </c>
      <c r="D26" s="5">
        <f>((C26-Sheet6!C25)/Sheet6!C25)*100</f>
        <v>-1.511722423</v>
      </c>
    </row>
    <row r="27" ht="14.25" customHeight="1">
      <c r="A27" s="3">
        <v>25.0</v>
      </c>
      <c r="B27" s="4" t="s">
        <v>27</v>
      </c>
      <c r="C27" s="5">
        <v>15031.08</v>
      </c>
      <c r="D27" s="5">
        <f>((C27-Sheet6!C26)/Sheet6!C26)*100</f>
        <v>-1.285300447</v>
      </c>
    </row>
    <row r="28" ht="14.25" customHeight="1">
      <c r="A28" s="3">
        <v>26.0</v>
      </c>
      <c r="B28" s="4" t="s">
        <v>28</v>
      </c>
      <c r="C28" s="5">
        <v>16047.51</v>
      </c>
      <c r="D28" s="5">
        <f>((C28-Sheet6!C27)/Sheet6!C27)*100</f>
        <v>-1.888196327</v>
      </c>
    </row>
    <row r="29" ht="14.25" customHeight="1">
      <c r="A29" s="3">
        <v>27.0</v>
      </c>
      <c r="B29" s="4" t="s">
        <v>29</v>
      </c>
      <c r="C29" s="5">
        <v>18155.6</v>
      </c>
      <c r="D29" s="5">
        <f>((C29-Sheet6!C28)/Sheet6!C28)*100</f>
        <v>-0.6109310677</v>
      </c>
    </row>
    <row r="30" ht="14.25" customHeight="1">
      <c r="A30" s="3">
        <v>28.0</v>
      </c>
      <c r="B30" s="4" t="s">
        <v>30</v>
      </c>
      <c r="C30" s="5">
        <v>24492.62</v>
      </c>
      <c r="D30" s="5">
        <f>((C30-Sheet6!C29)/Sheet6!C29)*100</f>
        <v>-1.483739919</v>
      </c>
    </row>
    <row r="31" ht="14.25" customHeight="1">
      <c r="A31" s="3">
        <v>29.0</v>
      </c>
      <c r="B31" s="4" t="s">
        <v>31</v>
      </c>
      <c r="C31" s="5">
        <v>32693.08</v>
      </c>
      <c r="D31" s="5">
        <f>((C31-Sheet6!C30)/Sheet6!C30)*100</f>
        <v>-0.4712026902</v>
      </c>
    </row>
    <row r="32" ht="14.25" customHeight="1">
      <c r="A32" s="3">
        <v>30.0</v>
      </c>
      <c r="B32" s="4" t="s">
        <v>32</v>
      </c>
      <c r="C32" s="5">
        <v>6312.05</v>
      </c>
      <c r="D32" s="5">
        <f>((C32-Sheet6!C31)/Sheet6!C31)*100</f>
        <v>-2.449409168</v>
      </c>
    </row>
    <row r="33" ht="14.25" customHeight="1">
      <c r="A33" s="3">
        <v>31.0</v>
      </c>
      <c r="B33" s="4" t="s">
        <v>33</v>
      </c>
      <c r="C33" s="5">
        <v>34815.97</v>
      </c>
      <c r="D33" s="5">
        <f>((C33-Sheet6!C32)/Sheet6!C32)*100</f>
        <v>-1.763883806</v>
      </c>
    </row>
    <row r="34" ht="14.25" customHeight="1">
      <c r="A34" s="3">
        <v>32.0</v>
      </c>
      <c r="B34" s="4" t="s">
        <v>34</v>
      </c>
      <c r="C34" s="5">
        <v>9503.71</v>
      </c>
      <c r="D34" s="5">
        <f>((C34-Sheet6!C33)/Sheet6!C33)*100</f>
        <v>-1.683554976</v>
      </c>
    </row>
    <row r="35" ht="14.25" customHeight="1">
      <c r="A35" s="3">
        <v>33.0</v>
      </c>
      <c r="B35" s="4" t="s">
        <v>35</v>
      </c>
      <c r="C35" s="5">
        <v>137601.98</v>
      </c>
      <c r="D35" s="5">
        <f>((C35-Sheet6!C34)/Sheet6!C34)*100</f>
        <v>-1.852745288</v>
      </c>
    </row>
    <row r="36" ht="14.25" customHeight="1">
      <c r="A36" s="3">
        <v>34.0</v>
      </c>
      <c r="B36" s="4" t="s">
        <v>36</v>
      </c>
      <c r="C36" s="5">
        <v>7337.83</v>
      </c>
      <c r="D36" s="5">
        <f>((C36-Sheet6!C35)/Sheet6!C35)*100</f>
        <v>-1.866951613</v>
      </c>
    </row>
    <row r="37" ht="14.25" customHeight="1">
      <c r="A37" s="3">
        <v>35.0</v>
      </c>
      <c r="B37" s="4" t="s">
        <v>37</v>
      </c>
      <c r="C37" s="5">
        <v>10949.12</v>
      </c>
      <c r="D37" s="5">
        <f>((C37-Sheet6!C36)/Sheet6!C36)*100</f>
        <v>-2.29042512</v>
      </c>
    </row>
    <row r="38" ht="14.25" customHeight="1">
      <c r="A38" s="6" t="s">
        <v>38</v>
      </c>
      <c r="B38" s="7"/>
      <c r="C38" s="8">
        <f>SUM(C3:C37)</f>
        <v>964084.22</v>
      </c>
      <c r="D38" s="8">
        <f>((C38-Sheet6!C37)/Sheet6!C37)*100</f>
        <v>-2.634475871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3.57"/>
    <col customWidth="1" min="5" max="26" width="8.71"/>
  </cols>
  <sheetData>
    <row r="1" ht="34.5" customHeight="1">
      <c r="A1" s="9" t="s">
        <v>39</v>
      </c>
      <c r="B1" s="10"/>
      <c r="C1" s="10"/>
      <c r="D1" s="7"/>
    </row>
    <row r="2" ht="14.25" customHeight="1">
      <c r="A2" s="1" t="s">
        <v>0</v>
      </c>
      <c r="B2" s="2" t="s">
        <v>1</v>
      </c>
      <c r="C2" s="2" t="s">
        <v>2</v>
      </c>
      <c r="D2" s="11" t="s">
        <v>40</v>
      </c>
    </row>
    <row r="3" ht="14.25" customHeight="1">
      <c r="A3" s="3">
        <v>1.0</v>
      </c>
      <c r="B3" s="4" t="s">
        <v>3</v>
      </c>
      <c r="C3" s="5">
        <v>91944.59</v>
      </c>
      <c r="D3" s="5">
        <f>((C3-'2020'!C3)/'2020'!C3)*100</f>
        <v>2.147512576</v>
      </c>
    </row>
    <row r="4" ht="14.25" customHeight="1">
      <c r="A4" s="3">
        <v>2.0</v>
      </c>
      <c r="B4" s="4" t="s">
        <v>4</v>
      </c>
      <c r="C4" s="5">
        <v>40686.81</v>
      </c>
      <c r="D4" s="5">
        <f>((C4-'2020'!C4)/'2020'!C4)*100</f>
        <v>4.000831254</v>
      </c>
    </row>
    <row r="5" ht="14.25" customHeight="1">
      <c r="A5" s="3">
        <v>3.0</v>
      </c>
      <c r="B5" s="4" t="s">
        <v>5</v>
      </c>
      <c r="C5" s="5">
        <v>17731.44</v>
      </c>
      <c r="D5" s="5">
        <f>((C5-'2020'!C5)/'2020'!C5)*100</f>
        <v>3.192540012</v>
      </c>
    </row>
    <row r="6" ht="14.25" customHeight="1">
      <c r="A6" s="3">
        <v>4.0</v>
      </c>
      <c r="B6" s="4" t="s">
        <v>6</v>
      </c>
      <c r="C6" s="5">
        <v>15536.48</v>
      </c>
      <c r="D6" s="5">
        <f>((C6-'2020'!C6)/'2020'!C6)*100</f>
        <v>3.260693293</v>
      </c>
    </row>
    <row r="7" ht="14.25" customHeight="1">
      <c r="A7" s="3">
        <v>5.0</v>
      </c>
      <c r="B7" s="4" t="s">
        <v>7</v>
      </c>
      <c r="C7" s="5">
        <v>20253.06</v>
      </c>
      <c r="D7" s="5">
        <f>((C7-'2020'!C7)/'2020'!C7)*100</f>
        <v>3.714730797</v>
      </c>
    </row>
    <row r="8" ht="14.25" customHeight="1">
      <c r="A8" s="3">
        <v>6.0</v>
      </c>
      <c r="B8" s="4" t="s">
        <v>8</v>
      </c>
      <c r="C8" s="5">
        <v>13573.47</v>
      </c>
      <c r="D8" s="5">
        <f>((C8-'2020'!C8)/'2020'!C8)*100</f>
        <v>3.312303199</v>
      </c>
    </row>
    <row r="9" ht="14.25" customHeight="1">
      <c r="A9" s="3">
        <v>7.0</v>
      </c>
      <c r="B9" s="4" t="s">
        <v>9</v>
      </c>
      <c r="C9" s="5">
        <v>14064.76</v>
      </c>
      <c r="D9" s="5">
        <f>((C9-'2020'!C9)/'2020'!C9)*100</f>
        <v>3.675168692</v>
      </c>
    </row>
    <row r="10" ht="14.25" customHeight="1">
      <c r="A10" s="3">
        <v>8.0</v>
      </c>
      <c r="B10" s="4" t="s">
        <v>10</v>
      </c>
      <c r="C10" s="5">
        <v>23661.71</v>
      </c>
      <c r="D10" s="5">
        <f>((C10-'2020'!C10)/'2020'!C10)*100</f>
        <v>3.483729606</v>
      </c>
    </row>
    <row r="11" ht="14.25" customHeight="1">
      <c r="A11" s="3">
        <v>9.0</v>
      </c>
      <c r="B11" s="4" t="s">
        <v>11</v>
      </c>
      <c r="C11" s="5">
        <v>23447.37</v>
      </c>
      <c r="D11" s="5">
        <f>((C11-'2020'!C11)/'2020'!C11)*100</f>
        <v>4.630310138</v>
      </c>
    </row>
    <row r="12" ht="14.25" customHeight="1">
      <c r="A12" s="3">
        <v>10.0</v>
      </c>
      <c r="B12" s="4" t="s">
        <v>12</v>
      </c>
      <c r="C12" s="5">
        <v>28531.11</v>
      </c>
      <c r="D12" s="5">
        <f>((C12-'2020'!C12)/'2020'!C12)*100</f>
        <v>3.823639865</v>
      </c>
    </row>
    <row r="13" ht="14.25" customHeight="1">
      <c r="A13" s="3">
        <v>11.0</v>
      </c>
      <c r="B13" s="4" t="s">
        <v>13</v>
      </c>
      <c r="C13" s="5">
        <v>27634.12</v>
      </c>
      <c r="D13" s="5">
        <f>((C13-'2020'!C13)/'2020'!C13)*100</f>
        <v>3.823267522</v>
      </c>
    </row>
    <row r="14" ht="14.25" customHeight="1">
      <c r="A14" s="3">
        <v>12.0</v>
      </c>
      <c r="B14" s="4" t="s">
        <v>14</v>
      </c>
      <c r="C14" s="5">
        <v>21251.17</v>
      </c>
      <c r="D14" s="5">
        <f>((C14-'2020'!C14)/'2020'!C14)*100</f>
        <v>3.345938412</v>
      </c>
    </row>
    <row r="15" ht="14.25" customHeight="1">
      <c r="A15" s="3">
        <v>13.0</v>
      </c>
      <c r="B15" s="4" t="s">
        <v>15</v>
      </c>
      <c r="C15" s="5">
        <v>27039.61</v>
      </c>
      <c r="D15" s="5">
        <f>((C15-'2020'!C15)/'2020'!C15)*100</f>
        <v>3.5872189</v>
      </c>
    </row>
    <row r="16" ht="14.25" customHeight="1">
      <c r="A16" s="3">
        <v>14.0</v>
      </c>
      <c r="B16" s="4" t="s">
        <v>16</v>
      </c>
      <c r="C16" s="5">
        <v>27355.15</v>
      </c>
      <c r="D16" s="5">
        <f>((C16-'2020'!C16)/'2020'!C16)*100</f>
        <v>3.746653994</v>
      </c>
    </row>
    <row r="17" ht="14.25" customHeight="1">
      <c r="A17" s="3">
        <v>15.0</v>
      </c>
      <c r="B17" s="4" t="s">
        <v>17</v>
      </c>
      <c r="C17" s="5">
        <v>20115.53</v>
      </c>
      <c r="D17" s="5">
        <f>((C17-'2020'!C17)/'2020'!C17)*100</f>
        <v>3.779078916</v>
      </c>
    </row>
    <row r="18" ht="14.25" customHeight="1">
      <c r="A18" s="3">
        <v>16.0</v>
      </c>
      <c r="B18" s="4" t="s">
        <v>18</v>
      </c>
      <c r="C18" s="5">
        <v>18126.45</v>
      </c>
      <c r="D18" s="5">
        <f>((C18-'2020'!C18)/'2020'!C18)*100</f>
        <v>3.675154671</v>
      </c>
    </row>
    <row r="19" ht="14.25" customHeight="1">
      <c r="A19" s="3">
        <v>17.0</v>
      </c>
      <c r="B19" s="4" t="s">
        <v>19</v>
      </c>
      <c r="C19" s="5">
        <v>13925.52</v>
      </c>
      <c r="D19" s="5">
        <f>((C19-'2020'!C19)/'2020'!C19)*100</f>
        <v>3.847160585</v>
      </c>
    </row>
    <row r="20" ht="14.25" customHeight="1">
      <c r="A20" s="3">
        <v>18.0</v>
      </c>
      <c r="B20" s="4" t="s">
        <v>20</v>
      </c>
      <c r="C20" s="5">
        <v>31559.08</v>
      </c>
      <c r="D20" s="5">
        <f>((C20-'2020'!C20)/'2020'!C20)*100</f>
        <v>3.379284297</v>
      </c>
    </row>
    <row r="21" ht="14.25" customHeight="1">
      <c r="A21" s="3">
        <v>19.0</v>
      </c>
      <c r="B21" s="4" t="s">
        <v>21</v>
      </c>
      <c r="C21" s="5">
        <v>69872.18</v>
      </c>
      <c r="D21" s="5">
        <f>((C21-'2020'!C21)/'2020'!C21)*100</f>
        <v>-1.539567613</v>
      </c>
    </row>
    <row r="22" ht="14.25" customHeight="1">
      <c r="A22" s="3">
        <v>20.0</v>
      </c>
      <c r="B22" s="4" t="s">
        <v>22</v>
      </c>
      <c r="C22" s="5">
        <v>21944.23</v>
      </c>
      <c r="D22" s="5">
        <f>((C22-'2020'!C22)/'2020'!C22)*100</f>
        <v>4.63040973</v>
      </c>
    </row>
    <row r="23" ht="14.25" customHeight="1">
      <c r="A23" s="3">
        <v>21.0</v>
      </c>
      <c r="B23" s="4" t="s">
        <v>23</v>
      </c>
      <c r="C23" s="5">
        <v>18856.42</v>
      </c>
      <c r="D23" s="5">
        <f>((C23-'2020'!C23)/'2020'!C23)*100</f>
        <v>2.622430143</v>
      </c>
    </row>
    <row r="24" ht="14.25" customHeight="1">
      <c r="A24" s="3">
        <v>22.0</v>
      </c>
      <c r="B24" s="4" t="s">
        <v>24</v>
      </c>
      <c r="C24" s="5">
        <v>35948.86</v>
      </c>
      <c r="D24" s="5">
        <f>((C24-'2020'!C24)/'2020'!C24)*100</f>
        <v>3.634739812</v>
      </c>
    </row>
    <row r="25" ht="14.25" customHeight="1">
      <c r="A25" s="3">
        <v>23.0</v>
      </c>
      <c r="B25" s="4" t="s">
        <v>25</v>
      </c>
      <c r="C25" s="5">
        <v>15387.93</v>
      </c>
      <c r="D25" s="5">
        <f>((C25-'2020'!C25)/'2020'!C25)*100</f>
        <v>3.338781902</v>
      </c>
    </row>
    <row r="26" ht="14.25" customHeight="1">
      <c r="A26" s="3">
        <v>24.0</v>
      </c>
      <c r="B26" s="4" t="s">
        <v>26</v>
      </c>
      <c r="C26" s="5">
        <v>31632.28</v>
      </c>
      <c r="D26" s="5">
        <f>((C26-'2020'!C26)/'2020'!C26)*100</f>
        <v>3.886036398</v>
      </c>
    </row>
    <row r="27" ht="14.25" customHeight="1">
      <c r="A27" s="3">
        <v>25.0</v>
      </c>
      <c r="B27" s="4" t="s">
        <v>27</v>
      </c>
      <c r="C27" s="5">
        <v>15764.27</v>
      </c>
      <c r="D27" s="5">
        <f>((C27-'2020'!C27)/'2020'!C27)*100</f>
        <v>4.877826477</v>
      </c>
    </row>
    <row r="28" ht="14.25" customHeight="1">
      <c r="A28" s="3">
        <v>26.0</v>
      </c>
      <c r="B28" s="4" t="s">
        <v>28</v>
      </c>
      <c r="C28" s="5">
        <v>16615.07</v>
      </c>
      <c r="D28" s="5">
        <f>((C28-'2020'!C28)/'2020'!C28)*100</f>
        <v>3.536748069</v>
      </c>
    </row>
    <row r="29" ht="14.25" customHeight="1">
      <c r="A29" s="3">
        <v>27.0</v>
      </c>
      <c r="B29" s="4" t="s">
        <v>29</v>
      </c>
      <c r="C29" s="5">
        <v>18933.19</v>
      </c>
      <c r="D29" s="5">
        <f>((C29-'2020'!C29)/'2020'!C29)*100</f>
        <v>4.282920972</v>
      </c>
    </row>
    <row r="30" ht="14.25" customHeight="1">
      <c r="A30" s="3">
        <v>28.0</v>
      </c>
      <c r="B30" s="4" t="s">
        <v>30</v>
      </c>
      <c r="C30" s="5">
        <v>25401.91</v>
      </c>
      <c r="D30" s="5">
        <f>((C30-'2020'!C30)/'2020'!C30)*100</f>
        <v>3.712506053</v>
      </c>
    </row>
    <row r="31" ht="14.25" customHeight="1">
      <c r="A31" s="3">
        <v>29.0</v>
      </c>
      <c r="B31" s="4" t="s">
        <v>31</v>
      </c>
      <c r="C31" s="5">
        <v>33533.33</v>
      </c>
      <c r="D31" s="5">
        <f>((C31-'2020'!C31)/'2020'!C31)*100</f>
        <v>2.570115755</v>
      </c>
    </row>
    <row r="32" ht="14.25" customHeight="1">
      <c r="A32" s="3">
        <v>30.0</v>
      </c>
      <c r="B32" s="4" t="s">
        <v>32</v>
      </c>
      <c r="C32" s="5">
        <v>6513.89</v>
      </c>
      <c r="D32" s="5">
        <f>((C32-'2020'!C32)/'2020'!C32)*100</f>
        <v>3.197693301</v>
      </c>
    </row>
    <row r="33" ht="14.25" customHeight="1">
      <c r="A33" s="3">
        <v>31.0</v>
      </c>
      <c r="B33" s="4" t="s">
        <v>33</v>
      </c>
      <c r="C33" s="5">
        <v>36211.25</v>
      </c>
      <c r="D33" s="5">
        <f>((C33-'2020'!C33)/'2020'!C33)*100</f>
        <v>4.007586174</v>
      </c>
    </row>
    <row r="34" ht="14.25" customHeight="1">
      <c r="A34" s="3">
        <v>32.0</v>
      </c>
      <c r="B34" s="4" t="s">
        <v>34</v>
      </c>
      <c r="C34" s="5">
        <v>9822.0</v>
      </c>
      <c r="D34" s="5">
        <f>((C34-'2020'!C34)/'2020'!C34)*100</f>
        <v>3.349113136</v>
      </c>
    </row>
    <row r="35" ht="14.25" customHeight="1">
      <c r="A35" s="3">
        <v>33.0</v>
      </c>
      <c r="B35" s="4" t="s">
        <v>35</v>
      </c>
      <c r="C35" s="5">
        <v>144704.57</v>
      </c>
      <c r="D35" s="5">
        <f>((C35-'2020'!C35)/'2020'!C35)*100</f>
        <v>5.161691714</v>
      </c>
    </row>
    <row r="36" ht="14.25" customHeight="1">
      <c r="A36" s="3">
        <v>34.0</v>
      </c>
      <c r="B36" s="4" t="s">
        <v>36</v>
      </c>
      <c r="C36" s="5">
        <v>7601.49</v>
      </c>
      <c r="D36" s="5">
        <f>((C36-'2020'!C36)/'2020'!C36)*100</f>
        <v>3.593160376</v>
      </c>
    </row>
    <row r="37" ht="14.25" customHeight="1">
      <c r="A37" s="3">
        <v>35.0</v>
      </c>
      <c r="B37" s="4" t="s">
        <v>37</v>
      </c>
      <c r="C37" s="5">
        <v>11290.27</v>
      </c>
      <c r="D37" s="5">
        <f>((C37-'2020'!C37)/'2020'!C37)*100</f>
        <v>3.115775514</v>
      </c>
    </row>
    <row r="38" ht="14.25" customHeight="1">
      <c r="A38" s="6" t="s">
        <v>38</v>
      </c>
      <c r="B38" s="7"/>
      <c r="C38" s="8">
        <f>SUM(C3:C37)</f>
        <v>996470.57</v>
      </c>
      <c r="D38" s="8">
        <f>((C38-'2020'!C38)/'2020'!C38)*100</f>
        <v>3.359286391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3.57"/>
    <col customWidth="1" min="5" max="5" width="41.0"/>
    <col customWidth="1" min="6" max="6" width="19.71"/>
    <col customWidth="1" min="7" max="7" width="17.86"/>
    <col customWidth="1" min="8" max="8" width="26.57"/>
    <col customWidth="1" min="9" max="9" width="25.0"/>
    <col customWidth="1" min="10" max="10" width="15.14"/>
    <col customWidth="1" min="11" max="11" width="12.57"/>
    <col customWidth="1" min="12" max="26" width="8.71"/>
  </cols>
  <sheetData>
    <row r="1" ht="34.5" customHeight="1">
      <c r="A1" s="9" t="s">
        <v>39</v>
      </c>
      <c r="B1" s="10"/>
      <c r="C1" s="10"/>
      <c r="D1" s="7"/>
      <c r="G1" s="12" t="s">
        <v>41</v>
      </c>
      <c r="H1" s="10"/>
      <c r="I1" s="10"/>
      <c r="J1" s="7"/>
    </row>
    <row r="2" ht="14.25" customHeight="1">
      <c r="A2" s="1" t="s">
        <v>0</v>
      </c>
      <c r="B2" s="2" t="s">
        <v>1</v>
      </c>
      <c r="C2" s="2" t="s">
        <v>2</v>
      </c>
      <c r="D2" s="11" t="s">
        <v>40</v>
      </c>
      <c r="G2" s="1" t="s">
        <v>0</v>
      </c>
      <c r="H2" s="2" t="s">
        <v>1</v>
      </c>
      <c r="I2" s="2" t="s">
        <v>2</v>
      </c>
      <c r="J2" s="11" t="s">
        <v>40</v>
      </c>
      <c r="K2" s="11" t="s">
        <v>42</v>
      </c>
    </row>
    <row r="3" ht="14.25" customHeight="1">
      <c r="A3" s="3">
        <v>1.0</v>
      </c>
      <c r="B3" s="4" t="s">
        <v>3</v>
      </c>
      <c r="C3" s="5">
        <v>96677.84</v>
      </c>
      <c r="D3" s="5">
        <f>((C3-'2021'!C3)/'2021'!C3)*100</f>
        <v>5.14793747</v>
      </c>
      <c r="G3" s="3">
        <v>1.0</v>
      </c>
      <c r="H3" s="4" t="s">
        <v>3</v>
      </c>
      <c r="I3" s="13">
        <v>96677.84</v>
      </c>
      <c r="J3" s="14">
        <f>((I3-'2021'!C3)/'2021'!C3)*100</f>
        <v>5.14793747</v>
      </c>
      <c r="K3" s="15">
        <f t="shared" ref="K3:K38" si="1">I3/$I$38*100</f>
        <v>9.204975418</v>
      </c>
    </row>
    <row r="4" ht="14.25" customHeight="1">
      <c r="A4" s="3">
        <v>2.0</v>
      </c>
      <c r="B4" s="4" t="s">
        <v>4</v>
      </c>
      <c r="C4" s="5">
        <v>43069.5</v>
      </c>
      <c r="D4" s="5">
        <f>((C4-'2021'!C4)/'2021'!C4)*100</f>
        <v>5.856173045</v>
      </c>
      <c r="G4" s="3">
        <v>2.0</v>
      </c>
      <c r="H4" s="4" t="s">
        <v>4</v>
      </c>
      <c r="I4" s="13">
        <v>43069.5</v>
      </c>
      <c r="J4" s="14">
        <f>((I4-'2021'!C4)/'2021'!C4)*100</f>
        <v>5.856173045</v>
      </c>
      <c r="K4" s="15">
        <f t="shared" si="1"/>
        <v>4.100771063</v>
      </c>
    </row>
    <row r="5" ht="14.25" customHeight="1">
      <c r="A5" s="3">
        <v>3.0</v>
      </c>
      <c r="B5" s="4" t="s">
        <v>5</v>
      </c>
      <c r="C5" s="5">
        <v>18690.73</v>
      </c>
      <c r="D5" s="5">
        <f>((C5-'2021'!C5)/'2021'!C5)*100</f>
        <v>5.410107696</v>
      </c>
      <c r="G5" s="3">
        <v>3.0</v>
      </c>
      <c r="H5" s="4" t="s">
        <v>5</v>
      </c>
      <c r="I5" s="13">
        <v>18690.73</v>
      </c>
      <c r="J5" s="14">
        <f>((I5-'2021'!C5)/'2021'!C5)*100</f>
        <v>5.410107696</v>
      </c>
      <c r="K5" s="15">
        <f t="shared" si="1"/>
        <v>1.779598201</v>
      </c>
    </row>
    <row r="6" ht="14.25" customHeight="1">
      <c r="A6" s="3">
        <v>4.0</v>
      </c>
      <c r="B6" s="4" t="s">
        <v>6</v>
      </c>
      <c r="C6" s="5">
        <v>16359.11</v>
      </c>
      <c r="D6" s="5">
        <f>((C6-'2021'!C6)/'2021'!C6)*100</f>
        <v>5.294828687</v>
      </c>
      <c r="G6" s="3">
        <v>4.0</v>
      </c>
      <c r="H6" s="4" t="s">
        <v>6</v>
      </c>
      <c r="I6" s="13">
        <v>16359.11</v>
      </c>
      <c r="J6" s="14">
        <f>((I6-'2021'!C6)/'2021'!C6)*100</f>
        <v>5.294828687</v>
      </c>
      <c r="K6" s="15">
        <f t="shared" si="1"/>
        <v>1.55759795</v>
      </c>
    </row>
    <row r="7" ht="14.25" customHeight="1">
      <c r="A7" s="3">
        <v>5.0</v>
      </c>
      <c r="B7" s="4" t="s">
        <v>7</v>
      </c>
      <c r="C7" s="5">
        <v>21425.79</v>
      </c>
      <c r="D7" s="5">
        <f>((C7-'2021'!C7)/'2021'!C7)*100</f>
        <v>5.790384268</v>
      </c>
      <c r="G7" s="3">
        <v>5.0</v>
      </c>
      <c r="H7" s="4" t="s">
        <v>7</v>
      </c>
      <c r="I7" s="13">
        <v>21425.79</v>
      </c>
      <c r="J7" s="14">
        <f>((I7-'2021'!C7)/'2021'!C7)*100</f>
        <v>5.790384268</v>
      </c>
      <c r="K7" s="15">
        <f t="shared" si="1"/>
        <v>2.040011136</v>
      </c>
    </row>
    <row r="8" ht="14.25" customHeight="1">
      <c r="A8" s="3">
        <v>6.0</v>
      </c>
      <c r="B8" s="4" t="s">
        <v>8</v>
      </c>
      <c r="C8" s="5">
        <v>14300.56</v>
      </c>
      <c r="D8" s="5">
        <f>((C8-'2021'!C8)/'2021'!C8)*100</f>
        <v>5.356699503</v>
      </c>
      <c r="G8" s="3">
        <v>6.0</v>
      </c>
      <c r="H8" s="4" t="s">
        <v>8</v>
      </c>
      <c r="I8" s="13">
        <v>14300.56</v>
      </c>
      <c r="J8" s="14">
        <f>((I8-'2021'!C8)/'2021'!C8)*100</f>
        <v>5.356699503</v>
      </c>
      <c r="K8" s="15">
        <f t="shared" si="1"/>
        <v>1.361597479</v>
      </c>
    </row>
    <row r="9" ht="14.25" customHeight="1">
      <c r="A9" s="3">
        <v>7.0</v>
      </c>
      <c r="B9" s="4" t="s">
        <v>9</v>
      </c>
      <c r="C9" s="5">
        <v>14770.5</v>
      </c>
      <c r="D9" s="5">
        <f>((C9-'2021'!C9)/'2021'!C9)*100</f>
        <v>5.017789141</v>
      </c>
      <c r="G9" s="3">
        <v>7.0</v>
      </c>
      <c r="H9" s="4" t="s">
        <v>9</v>
      </c>
      <c r="I9" s="13">
        <v>14770.5</v>
      </c>
      <c r="J9" s="14">
        <f>((I9-'2021'!C9)/'2021'!C9)*100</f>
        <v>5.017789141</v>
      </c>
      <c r="K9" s="15">
        <f t="shared" si="1"/>
        <v>1.406341819</v>
      </c>
    </row>
    <row r="10" ht="14.25" customHeight="1">
      <c r="A10" s="3">
        <v>8.0</v>
      </c>
      <c r="B10" s="4" t="s">
        <v>10</v>
      </c>
      <c r="C10" s="5">
        <v>24953.18</v>
      </c>
      <c r="D10" s="5">
        <f>((C10-'2021'!C10)/'2021'!C10)*100</f>
        <v>5.45805861</v>
      </c>
      <c r="G10" s="3">
        <v>8.0</v>
      </c>
      <c r="H10" s="4" t="s">
        <v>10</v>
      </c>
      <c r="I10" s="13">
        <v>24953.18</v>
      </c>
      <c r="J10" s="14">
        <f>((I10-'2021'!C10)/'2021'!C10)*100</f>
        <v>5.45805861</v>
      </c>
      <c r="K10" s="15">
        <f t="shared" si="1"/>
        <v>2.375864091</v>
      </c>
    </row>
    <row r="11" ht="14.25" customHeight="1">
      <c r="A11" s="3">
        <v>9.0</v>
      </c>
      <c r="B11" s="4" t="s">
        <v>11</v>
      </c>
      <c r="C11" s="5">
        <v>24931.3</v>
      </c>
      <c r="D11" s="5">
        <f>((C11-'2021'!C11)/'2021'!C11)*100</f>
        <v>6.328769495</v>
      </c>
      <c r="G11" s="3">
        <v>9.0</v>
      </c>
      <c r="H11" s="4" t="s">
        <v>11</v>
      </c>
      <c r="I11" s="13">
        <v>24931.3</v>
      </c>
      <c r="J11" s="14">
        <f>((I11-'2021'!C11)/'2021'!C11)*100</f>
        <v>6.328769495</v>
      </c>
      <c r="K11" s="15">
        <f t="shared" si="1"/>
        <v>2.373780834</v>
      </c>
    </row>
    <row r="12" ht="14.25" customHeight="1">
      <c r="A12" s="3">
        <v>10.0</v>
      </c>
      <c r="B12" s="4" t="s">
        <v>12</v>
      </c>
      <c r="C12" s="5">
        <v>30214.98</v>
      </c>
      <c r="D12" s="5">
        <f>((C12-'2021'!C12)/'2021'!C12)*100</f>
        <v>5.901873429</v>
      </c>
      <c r="G12" s="3">
        <v>10.0</v>
      </c>
      <c r="H12" s="4" t="s">
        <v>12</v>
      </c>
      <c r="I12" s="13">
        <v>30214.98</v>
      </c>
      <c r="J12" s="14">
        <f>((I12-'2021'!C12)/'2021'!C12)*100</f>
        <v>5.901873429</v>
      </c>
      <c r="K12" s="15">
        <f t="shared" si="1"/>
        <v>2.876855215</v>
      </c>
    </row>
    <row r="13" ht="14.25" customHeight="1">
      <c r="A13" s="3">
        <v>11.0</v>
      </c>
      <c r="B13" s="4" t="s">
        <v>13</v>
      </c>
      <c r="C13" s="5">
        <v>29185.35</v>
      </c>
      <c r="D13" s="5">
        <f>((C13-'2021'!C13)/'2021'!C13)*100</f>
        <v>5.613459014</v>
      </c>
      <c r="G13" s="3">
        <v>11.0</v>
      </c>
      <c r="H13" s="4" t="s">
        <v>13</v>
      </c>
      <c r="I13" s="13">
        <v>29185.35</v>
      </c>
      <c r="J13" s="14">
        <f>((I13-'2021'!C13)/'2021'!C13)*100</f>
        <v>5.613459014</v>
      </c>
      <c r="K13" s="15">
        <f t="shared" si="1"/>
        <v>2.778821179</v>
      </c>
    </row>
    <row r="14" ht="14.25" customHeight="1">
      <c r="A14" s="3">
        <v>12.0</v>
      </c>
      <c r="B14" s="4" t="s">
        <v>14</v>
      </c>
      <c r="C14" s="5">
        <v>22448.63</v>
      </c>
      <c r="D14" s="5">
        <f>((C14-'2021'!C14)/'2021'!C14)*100</f>
        <v>5.634795637</v>
      </c>
      <c r="G14" s="3">
        <v>12.0</v>
      </c>
      <c r="H14" s="4" t="s">
        <v>14</v>
      </c>
      <c r="I14" s="13">
        <v>22448.63</v>
      </c>
      <c r="J14" s="14">
        <f>((I14-'2021'!C14)/'2021'!C14)*100</f>
        <v>5.634795637</v>
      </c>
      <c r="K14" s="15">
        <f t="shared" si="1"/>
        <v>2.137398677</v>
      </c>
    </row>
    <row r="15" ht="14.25" customHeight="1">
      <c r="A15" s="3">
        <v>13.0</v>
      </c>
      <c r="B15" s="4" t="s">
        <v>15</v>
      </c>
      <c r="C15" s="5">
        <v>28624.99</v>
      </c>
      <c r="D15" s="5">
        <f>((C15-'2021'!C15)/'2021'!C15)*100</f>
        <v>5.863176281</v>
      </c>
      <c r="G15" s="3">
        <v>13.0</v>
      </c>
      <c r="H15" s="4" t="s">
        <v>15</v>
      </c>
      <c r="I15" s="13">
        <v>28624.99</v>
      </c>
      <c r="J15" s="14">
        <f>((I15-'2021'!C15)/'2021'!C15)*100</f>
        <v>5.863176281</v>
      </c>
      <c r="K15" s="15">
        <f t="shared" si="1"/>
        <v>2.72546769</v>
      </c>
    </row>
    <row r="16" ht="14.25" customHeight="1">
      <c r="A16" s="3">
        <v>14.0</v>
      </c>
      <c r="B16" s="4" t="s">
        <v>16</v>
      </c>
      <c r="C16" s="5">
        <v>28929.81</v>
      </c>
      <c r="D16" s="5">
        <f>((C16-'2021'!C16)/'2021'!C16)*100</f>
        <v>5.756356664</v>
      </c>
      <c r="G16" s="3">
        <v>14.0</v>
      </c>
      <c r="H16" s="4" t="s">
        <v>16</v>
      </c>
      <c r="I16" s="13">
        <v>28929.81</v>
      </c>
      <c r="J16" s="14">
        <f>((I16-'2021'!C16)/'2021'!C16)*100</f>
        <v>5.756356664</v>
      </c>
      <c r="K16" s="15">
        <f t="shared" si="1"/>
        <v>2.75449048</v>
      </c>
    </row>
    <row r="17" ht="14.25" customHeight="1">
      <c r="A17" s="3">
        <v>15.0</v>
      </c>
      <c r="B17" s="4" t="s">
        <v>17</v>
      </c>
      <c r="C17" s="5">
        <v>21318.16</v>
      </c>
      <c r="D17" s="5">
        <f>((C17-'2021'!C17)/'2021'!C17)*100</f>
        <v>5.978614533</v>
      </c>
      <c r="G17" s="3">
        <v>15.0</v>
      </c>
      <c r="H17" s="4" t="s">
        <v>17</v>
      </c>
      <c r="I17" s="13">
        <v>21318.16</v>
      </c>
      <c r="J17" s="14">
        <f>((I17-'2021'!C17)/'2021'!C17)*100</f>
        <v>5.978614533</v>
      </c>
      <c r="K17" s="15">
        <f t="shared" si="1"/>
        <v>2.029763374</v>
      </c>
    </row>
    <row r="18" ht="14.25" customHeight="1">
      <c r="A18" s="3">
        <v>16.0</v>
      </c>
      <c r="B18" s="4" t="s">
        <v>18</v>
      </c>
      <c r="C18" s="5">
        <v>18609.49</v>
      </c>
      <c r="D18" s="5">
        <f>((C18-'2021'!C18)/'2021'!C18)*100</f>
        <v>2.664835089</v>
      </c>
      <c r="G18" s="3">
        <v>16.0</v>
      </c>
      <c r="H18" s="4" t="s">
        <v>18</v>
      </c>
      <c r="I18" s="13">
        <v>18609.49</v>
      </c>
      <c r="J18" s="14">
        <f>((I18-'2021'!C18)/'2021'!C18)*100</f>
        <v>2.664835089</v>
      </c>
      <c r="K18" s="15">
        <f t="shared" si="1"/>
        <v>1.771863107</v>
      </c>
    </row>
    <row r="19" ht="14.25" customHeight="1">
      <c r="A19" s="3">
        <v>17.0</v>
      </c>
      <c r="B19" s="4" t="s">
        <v>19</v>
      </c>
      <c r="C19" s="5">
        <v>14698.84</v>
      </c>
      <c r="D19" s="5">
        <f>((C19-'2021'!C19)/'2021'!C19)*100</f>
        <v>5.553257616</v>
      </c>
      <c r="G19" s="3">
        <v>17.0</v>
      </c>
      <c r="H19" s="4" t="s">
        <v>19</v>
      </c>
      <c r="I19" s="13">
        <v>14698.84</v>
      </c>
      <c r="J19" s="14">
        <f>((I19-'2021'!C19)/'2021'!C19)*100</f>
        <v>5.553257616</v>
      </c>
      <c r="K19" s="15">
        <f t="shared" si="1"/>
        <v>1.399518865</v>
      </c>
    </row>
    <row r="20" ht="14.25" customHeight="1">
      <c r="A20" s="3">
        <v>18.0</v>
      </c>
      <c r="B20" s="4" t="s">
        <v>20</v>
      </c>
      <c r="C20" s="5">
        <v>33312.38</v>
      </c>
      <c r="D20" s="5">
        <f>((C20-'2021'!C20)/'2021'!C20)*100</f>
        <v>5.555611887</v>
      </c>
      <c r="G20" s="3">
        <v>18.0</v>
      </c>
      <c r="H20" s="4" t="s">
        <v>20</v>
      </c>
      <c r="I20" s="13">
        <v>33312.38</v>
      </c>
      <c r="J20" s="14">
        <f>((I20-'2021'!C20)/'2021'!C20)*100</f>
        <v>5.555611887</v>
      </c>
      <c r="K20" s="15">
        <f t="shared" si="1"/>
        <v>3.171767584</v>
      </c>
    </row>
    <row r="21" ht="14.25" customHeight="1">
      <c r="A21" s="3">
        <v>19.0</v>
      </c>
      <c r="B21" s="4" t="s">
        <v>21</v>
      </c>
      <c r="C21" s="5">
        <v>71416.93</v>
      </c>
      <c r="D21" s="5">
        <f>((C21-'2021'!C21)/'2021'!C21)*100</f>
        <v>2.210822676</v>
      </c>
      <c r="G21" s="3">
        <v>19.0</v>
      </c>
      <c r="H21" s="4" t="s">
        <v>21</v>
      </c>
      <c r="I21" s="13">
        <v>71416.93</v>
      </c>
      <c r="J21" s="14">
        <f>((I21-'2021'!C21)/'2021'!C21)*100</f>
        <v>2.210822676</v>
      </c>
      <c r="K21" s="15">
        <f t="shared" si="1"/>
        <v>6.799811467</v>
      </c>
    </row>
    <row r="22" ht="14.25" customHeight="1">
      <c r="A22" s="3">
        <v>20.0</v>
      </c>
      <c r="B22" s="4" t="s">
        <v>22</v>
      </c>
      <c r="C22" s="5">
        <v>23249.85</v>
      </c>
      <c r="D22" s="5">
        <f>((C22-'2021'!C22)/'2021'!C22)*100</f>
        <v>5.949718901</v>
      </c>
      <c r="G22" s="3">
        <v>20.0</v>
      </c>
      <c r="H22" s="4" t="s">
        <v>22</v>
      </c>
      <c r="I22" s="13">
        <v>23249.85</v>
      </c>
      <c r="J22" s="14">
        <f>((I22-'2021'!C22)/'2021'!C22)*100</f>
        <v>5.949718901</v>
      </c>
      <c r="K22" s="15">
        <f t="shared" si="1"/>
        <v>2.213685139</v>
      </c>
    </row>
    <row r="23" ht="14.25" customHeight="1">
      <c r="A23" s="3">
        <v>21.0</v>
      </c>
      <c r="B23" s="4" t="s">
        <v>23</v>
      </c>
      <c r="C23" s="5">
        <v>19846.43</v>
      </c>
      <c r="D23" s="5">
        <f>((C23-'2021'!C23)/'2021'!C23)*100</f>
        <v>5.25025429</v>
      </c>
      <c r="G23" s="3">
        <v>21.0</v>
      </c>
      <c r="H23" s="4" t="s">
        <v>23</v>
      </c>
      <c r="I23" s="13">
        <v>19846.43</v>
      </c>
      <c r="J23" s="14">
        <f>((I23-'2021'!C23)/'2021'!C23)*100</f>
        <v>5.25025429</v>
      </c>
      <c r="K23" s="15">
        <f t="shared" si="1"/>
        <v>1.889635725</v>
      </c>
    </row>
    <row r="24" ht="14.25" customHeight="1">
      <c r="A24" s="3">
        <v>22.0</v>
      </c>
      <c r="B24" s="4" t="s">
        <v>24</v>
      </c>
      <c r="C24" s="5">
        <v>37857.92</v>
      </c>
      <c r="D24" s="5">
        <f>((C24-'2021'!C24)/'2021'!C24)*100</f>
        <v>5.310488288</v>
      </c>
      <c r="G24" s="3">
        <v>22.0</v>
      </c>
      <c r="H24" s="4" t="s">
        <v>24</v>
      </c>
      <c r="I24" s="13">
        <v>37857.92</v>
      </c>
      <c r="J24" s="14">
        <f>((I24-'2021'!C24)/'2021'!C24)*100</f>
        <v>5.310488288</v>
      </c>
      <c r="K24" s="15">
        <f t="shared" si="1"/>
        <v>3.604561531</v>
      </c>
    </row>
    <row r="25" ht="14.25" customHeight="1">
      <c r="A25" s="3">
        <v>23.0</v>
      </c>
      <c r="B25" s="4" t="s">
        <v>25</v>
      </c>
      <c r="C25" s="5">
        <v>16187.37</v>
      </c>
      <c r="D25" s="5">
        <f>((C25-'2021'!C25)/'2021'!C25)*100</f>
        <v>5.195240685</v>
      </c>
      <c r="G25" s="3">
        <v>23.0</v>
      </c>
      <c r="H25" s="4" t="s">
        <v>25</v>
      </c>
      <c r="I25" s="13">
        <v>16187.37</v>
      </c>
      <c r="J25" s="14">
        <f>((I25-'2021'!C25)/'2021'!C25)*100</f>
        <v>5.195240685</v>
      </c>
      <c r="K25" s="15">
        <f t="shared" si="1"/>
        <v>1.54124609</v>
      </c>
    </row>
    <row r="26" ht="14.25" customHeight="1">
      <c r="A26" s="3">
        <v>24.0</v>
      </c>
      <c r="B26" s="4" t="s">
        <v>26</v>
      </c>
      <c r="C26" s="5">
        <v>33428.96</v>
      </c>
      <c r="D26" s="5">
        <f>((C26-'2021'!C26)/'2021'!C26)*100</f>
        <v>5.679894083</v>
      </c>
      <c r="G26" s="3">
        <v>24.0</v>
      </c>
      <c r="H26" s="4" t="s">
        <v>26</v>
      </c>
      <c r="I26" s="13">
        <v>33428.96</v>
      </c>
      <c r="J26" s="14">
        <f>((I26-'2021'!C26)/'2021'!C26)*100</f>
        <v>5.679894083</v>
      </c>
      <c r="K26" s="15">
        <f t="shared" si="1"/>
        <v>3.182867501</v>
      </c>
    </row>
    <row r="27" ht="14.25" customHeight="1">
      <c r="A27" s="3">
        <v>25.0</v>
      </c>
      <c r="B27" s="4" t="s">
        <v>27</v>
      </c>
      <c r="C27" s="5">
        <v>16704.99</v>
      </c>
      <c r="D27" s="5">
        <f>((C27-'2021'!C27)/'2021'!C27)*100</f>
        <v>5.967418726</v>
      </c>
      <c r="G27" s="3">
        <v>25.0</v>
      </c>
      <c r="H27" s="4" t="s">
        <v>27</v>
      </c>
      <c r="I27" s="13">
        <v>16704.99</v>
      </c>
      <c r="J27" s="14">
        <f>((I27-'2021'!C27)/'2021'!C27)*100</f>
        <v>5.967418726</v>
      </c>
      <c r="K27" s="15">
        <f t="shared" si="1"/>
        <v>1.59053018</v>
      </c>
    </row>
    <row r="28" ht="14.25" customHeight="1">
      <c r="A28" s="3">
        <v>26.0</v>
      </c>
      <c r="B28" s="4" t="s">
        <v>28</v>
      </c>
      <c r="C28" s="5">
        <v>17463.42</v>
      </c>
      <c r="D28" s="5">
        <f>((C28-'2021'!C28)/'2021'!C28)*100</f>
        <v>5.105906866</v>
      </c>
      <c r="G28" s="3">
        <v>26.0</v>
      </c>
      <c r="H28" s="4" t="s">
        <v>28</v>
      </c>
      <c r="I28" s="13">
        <v>17463.42</v>
      </c>
      <c r="J28" s="14">
        <f>((I28-'2021'!C28)/'2021'!C28)*100</f>
        <v>5.105906866</v>
      </c>
      <c r="K28" s="15">
        <f t="shared" si="1"/>
        <v>1.662742484</v>
      </c>
    </row>
    <row r="29" ht="14.25" customHeight="1">
      <c r="A29" s="3">
        <v>27.0</v>
      </c>
      <c r="B29" s="4" t="s">
        <v>29</v>
      </c>
      <c r="C29" s="5">
        <v>19895.24</v>
      </c>
      <c r="D29" s="5">
        <f>((C29-'2021'!C29)/'2021'!C29)*100</f>
        <v>5.081288468</v>
      </c>
      <c r="G29" s="3">
        <v>27.0</v>
      </c>
      <c r="H29" s="4" t="s">
        <v>29</v>
      </c>
      <c r="I29" s="13">
        <v>19895.24</v>
      </c>
      <c r="J29" s="14">
        <f>((I29-'2021'!C29)/'2021'!C29)*100</f>
        <v>5.081288468</v>
      </c>
      <c r="K29" s="15">
        <f t="shared" si="1"/>
        <v>1.894283066</v>
      </c>
    </row>
    <row r="30" ht="14.25" customHeight="1">
      <c r="A30" s="3">
        <v>28.0</v>
      </c>
      <c r="B30" s="4" t="s">
        <v>30</v>
      </c>
      <c r="C30" s="5">
        <v>26705.27</v>
      </c>
      <c r="D30" s="5">
        <f>((C30-'2021'!C30)/'2021'!C30)*100</f>
        <v>5.130952751</v>
      </c>
      <c r="G30" s="3">
        <v>28.0</v>
      </c>
      <c r="H30" s="4" t="s">
        <v>30</v>
      </c>
      <c r="I30" s="13">
        <v>26705.27</v>
      </c>
      <c r="J30" s="14">
        <f>((I30-'2021'!C30)/'2021'!C30)*100</f>
        <v>5.130952751</v>
      </c>
      <c r="K30" s="15">
        <f t="shared" si="1"/>
        <v>2.542685623</v>
      </c>
    </row>
    <row r="31" ht="14.25" customHeight="1">
      <c r="A31" s="3">
        <v>29.0</v>
      </c>
      <c r="B31" s="4" t="s">
        <v>31</v>
      </c>
      <c r="C31" s="5">
        <v>35378.61</v>
      </c>
      <c r="D31" s="5">
        <f>((C31-'2021'!C31)/'2021'!C31)*100</f>
        <v>5.502823609</v>
      </c>
      <c r="G31" s="3">
        <v>29.0</v>
      </c>
      <c r="H31" s="4" t="s">
        <v>31</v>
      </c>
      <c r="I31" s="13">
        <v>35378.61</v>
      </c>
      <c r="J31" s="14">
        <f>((I31-'2021'!C31)/'2021'!C31)*100</f>
        <v>5.502823609</v>
      </c>
      <c r="K31" s="15">
        <f t="shared" si="1"/>
        <v>3.36849929</v>
      </c>
    </row>
    <row r="32" ht="14.25" customHeight="1">
      <c r="A32" s="3">
        <v>30.0</v>
      </c>
      <c r="B32" s="4" t="s">
        <v>32</v>
      </c>
      <c r="C32" s="5">
        <v>6889.45</v>
      </c>
      <c r="D32" s="5">
        <f>((C32-'2021'!C32)/'2021'!C32)*100</f>
        <v>5.765525669</v>
      </c>
      <c r="G32" s="3">
        <v>30.0</v>
      </c>
      <c r="H32" s="4" t="s">
        <v>32</v>
      </c>
      <c r="I32" s="13">
        <v>6889.45</v>
      </c>
      <c r="J32" s="14">
        <f>((I32-'2021'!C32)/'2021'!C32)*100</f>
        <v>5.765525669</v>
      </c>
      <c r="K32" s="15">
        <f t="shared" si="1"/>
        <v>0.6559643646</v>
      </c>
    </row>
    <row r="33" ht="14.25" customHeight="1">
      <c r="A33" s="3">
        <v>31.0</v>
      </c>
      <c r="B33" s="4" t="s">
        <v>33</v>
      </c>
      <c r="C33" s="5">
        <v>38475.99</v>
      </c>
      <c r="D33" s="5">
        <f>((C33-'2021'!C33)/'2021'!C33)*100</f>
        <v>6.254244192</v>
      </c>
      <c r="G33" s="3">
        <v>31.0</v>
      </c>
      <c r="H33" s="4" t="s">
        <v>33</v>
      </c>
      <c r="I33" s="13">
        <v>38475.99</v>
      </c>
      <c r="J33" s="14">
        <f>((I33-'2021'!C33)/'2021'!C33)*100</f>
        <v>6.254244192</v>
      </c>
      <c r="K33" s="15">
        <f t="shared" si="1"/>
        <v>3.663409755</v>
      </c>
    </row>
    <row r="34" ht="14.25" customHeight="1">
      <c r="A34" s="3">
        <v>32.0</v>
      </c>
      <c r="B34" s="4" t="s">
        <v>34</v>
      </c>
      <c r="C34" s="5">
        <v>10365.44</v>
      </c>
      <c r="D34" s="5">
        <f>((C34-'2021'!C34)/'2021'!C34)*100</f>
        <v>5.532885359</v>
      </c>
      <c r="G34" s="3">
        <v>32.0</v>
      </c>
      <c r="H34" s="4" t="s">
        <v>34</v>
      </c>
      <c r="I34" s="13">
        <v>10365.44</v>
      </c>
      <c r="J34" s="14">
        <f>((I34-'2021'!C34)/'2021'!C34)*100</f>
        <v>5.532885359</v>
      </c>
      <c r="K34" s="15">
        <f t="shared" si="1"/>
        <v>0.9869233776</v>
      </c>
    </row>
    <row r="35" ht="14.25" customHeight="1">
      <c r="A35" s="3">
        <v>33.0</v>
      </c>
      <c r="B35" s="4" t="s">
        <v>35</v>
      </c>
      <c r="C35" s="5">
        <v>152995.41</v>
      </c>
      <c r="D35" s="5">
        <f>((C35-'2021'!C35)/'2021'!C35)*100</f>
        <v>5.729494238</v>
      </c>
      <c r="G35" s="3">
        <v>33.0</v>
      </c>
      <c r="H35" s="4" t="s">
        <v>35</v>
      </c>
      <c r="I35" s="13">
        <v>152995.41</v>
      </c>
      <c r="J35" s="14">
        <f>((I35-'2021'!C35)/'2021'!C35)*100</f>
        <v>5.729494238</v>
      </c>
      <c r="K35" s="15">
        <f t="shared" si="1"/>
        <v>14.56713336</v>
      </c>
    </row>
    <row r="36" ht="14.25" customHeight="1">
      <c r="A36" s="3">
        <v>34.0</v>
      </c>
      <c r="B36" s="4" t="s">
        <v>36</v>
      </c>
      <c r="C36" s="5">
        <v>8039.47</v>
      </c>
      <c r="D36" s="5">
        <f>((C36-'2021'!C36)/'2021'!C36)*100</f>
        <v>5.761765128</v>
      </c>
      <c r="G36" s="3">
        <v>34.0</v>
      </c>
      <c r="H36" s="4" t="s">
        <v>36</v>
      </c>
      <c r="I36" s="13">
        <v>8039.47</v>
      </c>
      <c r="J36" s="14">
        <f>((I36-'2021'!C36)/'2021'!C36)*100</f>
        <v>5.761765128</v>
      </c>
      <c r="K36" s="15">
        <f t="shared" si="1"/>
        <v>0.765461079</v>
      </c>
    </row>
    <row r="37" ht="14.25" customHeight="1">
      <c r="A37" s="3">
        <v>35.0</v>
      </c>
      <c r="B37" s="4" t="s">
        <v>37</v>
      </c>
      <c r="C37" s="5">
        <v>11873.2</v>
      </c>
      <c r="D37" s="5">
        <f>((C37-'2021'!C37)/'2021'!C37)*100</f>
        <v>5.163118331</v>
      </c>
      <c r="G37" s="3">
        <v>35.0</v>
      </c>
      <c r="H37" s="4" t="s">
        <v>37</v>
      </c>
      <c r="I37" s="13">
        <v>11873.2</v>
      </c>
      <c r="J37" s="14">
        <f>((I37-'2021'!C37)/'2021'!C37)*100</f>
        <v>5.163118331</v>
      </c>
      <c r="K37" s="15">
        <f t="shared" si="1"/>
        <v>1.130481547</v>
      </c>
    </row>
    <row r="38" ht="14.25" customHeight="1">
      <c r="A38" s="6" t="s">
        <v>38</v>
      </c>
      <c r="B38" s="7"/>
      <c r="C38" s="8">
        <f>SUM(C3:C37)</f>
        <v>1049295.09</v>
      </c>
      <c r="D38" s="8">
        <f>((C38-'2021'!C38)/'2021'!C38)*100</f>
        <v>5.30116208</v>
      </c>
      <c r="G38" s="6" t="s">
        <v>38</v>
      </c>
      <c r="H38" s="7"/>
      <c r="I38" s="13">
        <v>1050278.09</v>
      </c>
      <c r="J38" s="14">
        <f>((I38-'2021'!C38)/'2021'!C38)*100</f>
        <v>5.399810252</v>
      </c>
      <c r="K38" s="15">
        <f t="shared" si="1"/>
        <v>100</v>
      </c>
    </row>
    <row r="39" ht="14.25" customHeight="1"/>
    <row r="40" ht="14.25" customHeight="1"/>
    <row r="41" ht="14.25" customHeight="1"/>
    <row r="42" ht="14.25" customHeight="1">
      <c r="E42" s="16" t="s">
        <v>43</v>
      </c>
      <c r="F42" s="17" t="s">
        <v>44</v>
      </c>
    </row>
    <row r="43" ht="14.25" customHeight="1">
      <c r="E43" s="18" t="s">
        <v>45</v>
      </c>
      <c r="F43" s="19">
        <v>0.81</v>
      </c>
    </row>
    <row r="44" ht="14.25" customHeight="1">
      <c r="E44" s="18" t="s">
        <v>46</v>
      </c>
      <c r="F44" s="19">
        <v>0.16</v>
      </c>
    </row>
    <row r="45" ht="14.25" customHeight="1">
      <c r="E45" s="18" t="s">
        <v>47</v>
      </c>
      <c r="F45" s="19">
        <v>28.87</v>
      </c>
    </row>
    <row r="46" ht="14.25" customHeight="1">
      <c r="E46" s="18" t="s">
        <v>48</v>
      </c>
      <c r="F46" s="19">
        <v>0.09</v>
      </c>
    </row>
    <row r="47" ht="14.25" customHeight="1">
      <c r="E47" s="18" t="s">
        <v>49</v>
      </c>
      <c r="F47" s="19">
        <v>0.07</v>
      </c>
    </row>
    <row r="48" ht="14.25" customHeight="1">
      <c r="E48" s="18" t="s">
        <v>50</v>
      </c>
      <c r="F48" s="19">
        <v>26.33</v>
      </c>
    </row>
    <row r="49" ht="14.25" customHeight="1">
      <c r="E49" s="18" t="s">
        <v>51</v>
      </c>
      <c r="F49" s="19">
        <v>13.2</v>
      </c>
    </row>
    <row r="50" ht="14.25" customHeight="1">
      <c r="E50" s="18" t="s">
        <v>52</v>
      </c>
      <c r="F50" s="19">
        <v>4.17</v>
      </c>
    </row>
    <row r="51" ht="14.25" customHeight="1">
      <c r="E51" s="18" t="s">
        <v>53</v>
      </c>
      <c r="F51" s="19">
        <v>3.07</v>
      </c>
    </row>
    <row r="52" ht="14.25" customHeight="1">
      <c r="E52" s="18" t="s">
        <v>54</v>
      </c>
      <c r="F52" s="19">
        <v>8.62</v>
      </c>
    </row>
    <row r="53" ht="14.25" customHeight="1">
      <c r="E53" s="18" t="s">
        <v>55</v>
      </c>
      <c r="F53" s="19">
        <v>4.19</v>
      </c>
    </row>
    <row r="54" ht="14.25" customHeight="1">
      <c r="E54" s="18" t="s">
        <v>56</v>
      </c>
      <c r="F54" s="19">
        <v>2.68</v>
      </c>
    </row>
    <row r="55" ht="14.25" customHeight="1">
      <c r="E55" s="18" t="s">
        <v>57</v>
      </c>
      <c r="F55" s="19">
        <v>0.68</v>
      </c>
    </row>
    <row r="56" ht="14.25" customHeight="1">
      <c r="E56" s="18" t="s">
        <v>58</v>
      </c>
      <c r="F56" s="19">
        <v>2.66</v>
      </c>
    </row>
    <row r="57" ht="14.25" customHeight="1">
      <c r="E57" s="18" t="s">
        <v>59</v>
      </c>
      <c r="F57" s="19">
        <v>2.54</v>
      </c>
    </row>
    <row r="58" ht="14.25" customHeight="1">
      <c r="E58" s="18" t="s">
        <v>60</v>
      </c>
      <c r="F58" s="19">
        <v>0.84</v>
      </c>
    </row>
    <row r="59" ht="14.25" customHeight="1">
      <c r="E59" s="18" t="s">
        <v>61</v>
      </c>
      <c r="F59" s="19">
        <v>1.01</v>
      </c>
    </row>
    <row r="60" ht="14.25" customHeight="1">
      <c r="E60" s="18" t="s">
        <v>62</v>
      </c>
      <c r="F60" s="19">
        <v>100.0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38:B38"/>
    <mergeCell ref="G1:J1"/>
    <mergeCell ref="G38:H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3.57"/>
    <col customWidth="1" min="5" max="6" width="8.71"/>
    <col customWidth="1" min="7" max="7" width="74.43"/>
    <col customWidth="1" min="8" max="8" width="23.71"/>
    <col customWidth="1" min="9" max="9" width="12.86"/>
    <col customWidth="1" min="10" max="10" width="24.14"/>
    <col customWidth="1" min="11" max="11" width="14.86"/>
    <col customWidth="1" min="12" max="12" width="18.71"/>
    <col customWidth="1" min="13" max="26" width="8.71"/>
  </cols>
  <sheetData>
    <row r="1" ht="34.5" customHeight="1">
      <c r="A1" s="9" t="s">
        <v>39</v>
      </c>
      <c r="B1" s="10"/>
      <c r="C1" s="10"/>
      <c r="D1" s="7"/>
      <c r="G1" s="12" t="s">
        <v>41</v>
      </c>
      <c r="H1" s="10"/>
      <c r="I1" s="10"/>
      <c r="J1" s="7"/>
    </row>
    <row r="2" ht="14.25" customHeight="1">
      <c r="A2" s="1" t="s">
        <v>0</v>
      </c>
      <c r="B2" s="2" t="s">
        <v>1</v>
      </c>
      <c r="C2" s="2" t="s">
        <v>2</v>
      </c>
      <c r="D2" s="11" t="s">
        <v>40</v>
      </c>
      <c r="G2" s="1" t="s">
        <v>0</v>
      </c>
      <c r="H2" s="2" t="s">
        <v>1</v>
      </c>
      <c r="I2" s="2" t="s">
        <v>2</v>
      </c>
      <c r="J2" s="11" t="s">
        <v>40</v>
      </c>
      <c r="K2" s="11" t="s">
        <v>42</v>
      </c>
    </row>
    <row r="3" ht="14.25" customHeight="1">
      <c r="A3" s="3">
        <v>1.0</v>
      </c>
      <c r="B3" s="4" t="s">
        <v>3</v>
      </c>
      <c r="C3" s="5">
        <v>101839.74</v>
      </c>
      <c r="D3" s="5">
        <f>((C3-'2022'!C3)/'2022'!C3)*100</f>
        <v>5.339279405</v>
      </c>
      <c r="G3" s="3">
        <v>1.0</v>
      </c>
      <c r="H3" s="4" t="s">
        <v>3</v>
      </c>
      <c r="I3" s="13">
        <v>101816.53</v>
      </c>
      <c r="J3" s="14">
        <f>((I3-'2022'!C3)/'2022'!C3)*100</f>
        <v>5.315271835</v>
      </c>
      <c r="K3" s="15">
        <f t="shared" ref="K3:K38" si="1">I3/$I$38*100</f>
        <v>9.235583053</v>
      </c>
    </row>
    <row r="4" ht="14.25" customHeight="1">
      <c r="A4" s="3">
        <v>2.0</v>
      </c>
      <c r="B4" s="4" t="s">
        <v>4</v>
      </c>
      <c r="C4" s="5">
        <v>45396.3</v>
      </c>
      <c r="D4" s="5">
        <f>((C4-'2022'!C4)/'2022'!C4)*100</f>
        <v>5.402430955</v>
      </c>
      <c r="G4" s="3">
        <v>2.0</v>
      </c>
      <c r="H4" s="4" t="s">
        <v>4</v>
      </c>
      <c r="I4" s="13">
        <v>45386.22</v>
      </c>
      <c r="J4" s="14">
        <f>((I4-'2022'!C4)/'2022'!C4)*100</f>
        <v>5.379026922</v>
      </c>
      <c r="K4" s="15">
        <f t="shared" si="1"/>
        <v>4.116897367</v>
      </c>
    </row>
    <row r="5" ht="14.25" customHeight="1">
      <c r="A5" s="3">
        <v>3.0</v>
      </c>
      <c r="B5" s="4" t="s">
        <v>5</v>
      </c>
      <c r="C5" s="5">
        <v>19533.86</v>
      </c>
      <c r="D5" s="5">
        <f>((C5-'2022'!C5)/'2022'!C5)*100</f>
        <v>4.510952756</v>
      </c>
      <c r="G5" s="3">
        <v>3.0</v>
      </c>
      <c r="H5" s="4" t="s">
        <v>5</v>
      </c>
      <c r="I5" s="13">
        <v>19525.36</v>
      </c>
      <c r="J5" s="14">
        <f>((I5-'2022'!C5)/'2022'!C5)*100</f>
        <v>4.465475666</v>
      </c>
      <c r="K5" s="15">
        <f t="shared" si="1"/>
        <v>1.771108129</v>
      </c>
    </row>
    <row r="6" ht="14.25" customHeight="1">
      <c r="A6" s="3">
        <v>4.0</v>
      </c>
      <c r="B6" s="4" t="s">
        <v>6</v>
      </c>
      <c r="C6" s="5">
        <v>17174.39</v>
      </c>
      <c r="D6" s="5">
        <f>((C6-'2022'!C6)/'2022'!C6)*100</f>
        <v>4.983645198</v>
      </c>
      <c r="G6" s="3">
        <v>4.0</v>
      </c>
      <c r="H6" s="4" t="s">
        <v>6</v>
      </c>
      <c r="I6" s="13">
        <v>17174.39</v>
      </c>
      <c r="J6" s="14">
        <f>((I6-'2022'!C6)/'2022'!C6)*100</f>
        <v>4.983645198</v>
      </c>
      <c r="K6" s="15">
        <f t="shared" si="1"/>
        <v>1.557856128</v>
      </c>
    </row>
    <row r="7" ht="14.25" customHeight="1">
      <c r="A7" s="3">
        <v>5.0</v>
      </c>
      <c r="B7" s="4" t="s">
        <v>7</v>
      </c>
      <c r="C7" s="5">
        <v>22638.9</v>
      </c>
      <c r="D7" s="5">
        <f>((C7-'2022'!C7)/'2022'!C7)*100</f>
        <v>5.661914917</v>
      </c>
      <c r="G7" s="3">
        <v>5.0</v>
      </c>
      <c r="H7" s="4" t="s">
        <v>7</v>
      </c>
      <c r="I7" s="13">
        <v>22630.06</v>
      </c>
      <c r="J7" s="14">
        <f>((I7-'2022'!C7)/'2022'!C7)*100</f>
        <v>5.620656228</v>
      </c>
      <c r="K7" s="15">
        <f t="shared" si="1"/>
        <v>2.052729538</v>
      </c>
    </row>
    <row r="8" ht="14.25" customHeight="1">
      <c r="A8" s="3">
        <v>6.0</v>
      </c>
      <c r="B8" s="4" t="s">
        <v>8</v>
      </c>
      <c r="C8" s="5">
        <v>15025.91</v>
      </c>
      <c r="D8" s="5">
        <f>((C8-'2022'!C8)/'2022'!C8)*100</f>
        <v>5.072178992</v>
      </c>
      <c r="G8" s="3">
        <v>6.0</v>
      </c>
      <c r="H8" s="4" t="s">
        <v>8</v>
      </c>
      <c r="I8" s="13">
        <v>15025.64</v>
      </c>
      <c r="J8" s="14">
        <f>((I8-'2022'!C8)/'2022'!C8)*100</f>
        <v>5.070290954</v>
      </c>
      <c r="K8" s="15">
        <f t="shared" si="1"/>
        <v>1.362947118</v>
      </c>
    </row>
    <row r="9" ht="14.25" customHeight="1">
      <c r="A9" s="3">
        <v>7.0</v>
      </c>
      <c r="B9" s="4" t="s">
        <v>9</v>
      </c>
      <c r="C9" s="5">
        <v>15405.98</v>
      </c>
      <c r="D9" s="5">
        <f>((C9-'2022'!C9)/'2022'!C9)*100</f>
        <v>4.302359433</v>
      </c>
      <c r="G9" s="3">
        <v>7.0</v>
      </c>
      <c r="H9" s="4" t="s">
        <v>9</v>
      </c>
      <c r="I9" s="13">
        <v>15405.03</v>
      </c>
      <c r="J9" s="14">
        <f>((I9-'2022'!C9)/'2022'!C9)*100</f>
        <v>4.295927694</v>
      </c>
      <c r="K9" s="15">
        <f t="shared" si="1"/>
        <v>1.397360861</v>
      </c>
    </row>
    <row r="10" ht="14.25" customHeight="1">
      <c r="A10" s="3">
        <v>8.0</v>
      </c>
      <c r="B10" s="4" t="s">
        <v>10</v>
      </c>
      <c r="C10" s="5">
        <v>26211.56</v>
      </c>
      <c r="D10" s="5">
        <f>((C10-'2022'!C10)/'2022'!C10)*100</f>
        <v>5.042964464</v>
      </c>
      <c r="G10" s="3">
        <v>8.0</v>
      </c>
      <c r="H10" s="4" t="s">
        <v>10</v>
      </c>
      <c r="I10" s="13">
        <v>26207.91</v>
      </c>
      <c r="J10" s="14">
        <f>((I10-'2022'!C10)/'2022'!C10)*100</f>
        <v>5.02833707</v>
      </c>
      <c r="K10" s="15">
        <f t="shared" si="1"/>
        <v>2.377269481</v>
      </c>
    </row>
    <row r="11" ht="14.25" customHeight="1">
      <c r="A11" s="3">
        <v>9.0</v>
      </c>
      <c r="B11" s="4" t="s">
        <v>11</v>
      </c>
      <c r="C11" s="5">
        <v>26333.28</v>
      </c>
      <c r="D11" s="5">
        <f>((C11-'2022'!C11)/'2022'!C11)*100</f>
        <v>5.623373029</v>
      </c>
      <c r="G11" s="3">
        <v>9.0</v>
      </c>
      <c r="H11" s="4" t="s">
        <v>11</v>
      </c>
      <c r="I11" s="13">
        <v>26326.85</v>
      </c>
      <c r="J11" s="14">
        <f>((I11-'2022'!C11)/'2022'!C11)*100</f>
        <v>5.597582156</v>
      </c>
      <c r="K11" s="15">
        <f t="shared" si="1"/>
        <v>2.388058302</v>
      </c>
    </row>
    <row r="12" ht="14.25" customHeight="1">
      <c r="A12" s="3">
        <v>10.0</v>
      </c>
      <c r="B12" s="4" t="s">
        <v>12</v>
      </c>
      <c r="C12" s="5">
        <v>31938.33</v>
      </c>
      <c r="D12" s="5">
        <f>((C12-'2022'!C12)/'2022'!C12)*100</f>
        <v>5.703627803</v>
      </c>
      <c r="G12" s="3">
        <v>10.0</v>
      </c>
      <c r="H12" s="4" t="s">
        <v>12</v>
      </c>
      <c r="I12" s="13">
        <v>31930.3</v>
      </c>
      <c r="J12" s="14">
        <f>((I12-'2022'!C12)/'2022'!C12)*100</f>
        <v>5.677051582</v>
      </c>
      <c r="K12" s="15">
        <f t="shared" si="1"/>
        <v>2.896336553</v>
      </c>
    </row>
    <row r="13" ht="14.25" customHeight="1">
      <c r="A13" s="3">
        <v>11.0</v>
      </c>
      <c r="B13" s="4" t="s">
        <v>13</v>
      </c>
      <c r="C13" s="5">
        <v>30662.65</v>
      </c>
      <c r="D13" s="5">
        <f>((C13-'2022'!C13)/'2022'!C13)*100</f>
        <v>5.061786136</v>
      </c>
      <c r="G13" s="3">
        <v>11.0</v>
      </c>
      <c r="H13" s="4" t="s">
        <v>13</v>
      </c>
      <c r="I13" s="13">
        <v>30657.93</v>
      </c>
      <c r="J13" s="14">
        <f>((I13-'2022'!C13)/'2022'!C13)*100</f>
        <v>5.045613638</v>
      </c>
      <c r="K13" s="15">
        <f t="shared" si="1"/>
        <v>2.7809223</v>
      </c>
    </row>
    <row r="14" ht="14.25" customHeight="1">
      <c r="A14" s="3">
        <v>12.0</v>
      </c>
      <c r="B14" s="4" t="s">
        <v>14</v>
      </c>
      <c r="C14" s="5">
        <v>23566.88</v>
      </c>
      <c r="D14" s="5">
        <f>((C14-'2022'!C14)/'2022'!C14)*100</f>
        <v>4.981373028</v>
      </c>
      <c r="G14" s="3">
        <v>12.0</v>
      </c>
      <c r="H14" s="4" t="s">
        <v>14</v>
      </c>
      <c r="I14" s="13">
        <v>23568.41</v>
      </c>
      <c r="J14" s="14">
        <f>((I14-'2022'!C14)/'2022'!C14)*100</f>
        <v>4.988188589</v>
      </c>
      <c r="K14" s="15">
        <f t="shared" si="1"/>
        <v>2.137845475</v>
      </c>
    </row>
    <row r="15" ht="14.25" customHeight="1">
      <c r="A15" s="3">
        <v>13.0</v>
      </c>
      <c r="B15" s="4" t="s">
        <v>15</v>
      </c>
      <c r="C15" s="5">
        <v>30208.24</v>
      </c>
      <c r="D15" s="5">
        <f>((C15-'2022'!C15)/'2022'!C15)*100</f>
        <v>5.531006299</v>
      </c>
      <c r="G15" s="3">
        <v>13.0</v>
      </c>
      <c r="H15" s="4" t="s">
        <v>15</v>
      </c>
      <c r="I15" s="13">
        <v>30198.24</v>
      </c>
      <c r="J15" s="14">
        <f>((I15-'2022'!C15)/'2022'!C15)*100</f>
        <v>5.496071789</v>
      </c>
      <c r="K15" s="15">
        <f t="shared" si="1"/>
        <v>2.739224697</v>
      </c>
    </row>
    <row r="16" ht="14.25" customHeight="1">
      <c r="A16" s="3">
        <v>14.0</v>
      </c>
      <c r="B16" s="4" t="s">
        <v>16</v>
      </c>
      <c r="C16" s="5">
        <v>30442.19</v>
      </c>
      <c r="D16" s="5">
        <f>((C16-'2022'!C16)/'2022'!C16)*100</f>
        <v>5.227756421</v>
      </c>
      <c r="G16" s="3">
        <v>14.0</v>
      </c>
      <c r="H16" s="4" t="s">
        <v>16</v>
      </c>
      <c r="I16" s="13">
        <v>30438.34</v>
      </c>
      <c r="J16" s="14">
        <f>((I16-'2022'!C16)/'2022'!C16)*100</f>
        <v>5.214448349</v>
      </c>
      <c r="K16" s="15">
        <f t="shared" si="1"/>
        <v>2.76100371</v>
      </c>
    </row>
    <row r="17" ht="14.25" customHeight="1">
      <c r="A17" s="3">
        <v>15.0</v>
      </c>
      <c r="B17" s="4" t="s">
        <v>17</v>
      </c>
      <c r="C17" s="5">
        <v>22381.0</v>
      </c>
      <c r="D17" s="5">
        <f>((C17-'2022'!C17)/'2022'!C17)*100</f>
        <v>4.985608514</v>
      </c>
      <c r="G17" s="3">
        <v>15.0</v>
      </c>
      <c r="H17" s="4" t="s">
        <v>17</v>
      </c>
      <c r="I17" s="13">
        <v>22381.0</v>
      </c>
      <c r="J17" s="14">
        <f>((I17-'2022'!C17)/'2022'!C17)*100</f>
        <v>4.985608514</v>
      </c>
      <c r="K17" s="15">
        <f t="shared" si="1"/>
        <v>2.030137781</v>
      </c>
    </row>
    <row r="18" ht="14.25" customHeight="1">
      <c r="A18" s="3">
        <v>16.0</v>
      </c>
      <c r="B18" s="4" t="s">
        <v>18</v>
      </c>
      <c r="C18" s="5">
        <v>19188.79</v>
      </c>
      <c r="D18" s="5">
        <f>((C18-'2022'!C18)/'2022'!C18)*100</f>
        <v>3.112927866</v>
      </c>
      <c r="G18" s="3">
        <v>16.0</v>
      </c>
      <c r="H18" s="4" t="s">
        <v>18</v>
      </c>
      <c r="I18" s="13">
        <v>19183.67</v>
      </c>
      <c r="J18" s="14">
        <f>((I18-'2022'!C18)/'2022'!C18)*100</f>
        <v>3.085415022</v>
      </c>
      <c r="K18" s="15">
        <f t="shared" si="1"/>
        <v>1.740114081</v>
      </c>
    </row>
    <row r="19" ht="14.25" customHeight="1">
      <c r="A19" s="3">
        <v>17.0</v>
      </c>
      <c r="B19" s="4" t="s">
        <v>19</v>
      </c>
      <c r="C19" s="5">
        <v>15463.55</v>
      </c>
      <c r="D19" s="5">
        <f>((C19-'2022'!C19)/'2022'!C19)*100</f>
        <v>5.202519382</v>
      </c>
      <c r="G19" s="3">
        <v>17.0</v>
      </c>
      <c r="H19" s="4" t="s">
        <v>19</v>
      </c>
      <c r="I19" s="13">
        <v>15461.2</v>
      </c>
      <c r="J19" s="14">
        <f>((I19-'2022'!C19)/'2022'!C19)*100</f>
        <v>5.186531726</v>
      </c>
      <c r="K19" s="15">
        <f t="shared" si="1"/>
        <v>1.402455934</v>
      </c>
    </row>
    <row r="20" ht="14.25" customHeight="1">
      <c r="A20" s="3">
        <v>18.0</v>
      </c>
      <c r="B20" s="4" t="s">
        <v>20</v>
      </c>
      <c r="C20" s="5">
        <v>34984.79</v>
      </c>
      <c r="D20" s="5">
        <f>((C20-'2022'!C20)/'2022'!C20)*100</f>
        <v>5.020385815</v>
      </c>
      <c r="G20" s="3">
        <v>18.0</v>
      </c>
      <c r="H20" s="4" t="s">
        <v>20</v>
      </c>
      <c r="I20" s="13">
        <v>34980.11</v>
      </c>
      <c r="J20" s="14">
        <f>((I20-'2022'!C20)/'2022'!C20)*100</f>
        <v>5.006336983</v>
      </c>
      <c r="K20" s="15">
        <f t="shared" si="1"/>
        <v>3.172978996</v>
      </c>
    </row>
    <row r="21" ht="14.25" customHeight="1">
      <c r="A21" s="3">
        <v>19.0</v>
      </c>
      <c r="B21" s="4" t="s">
        <v>21</v>
      </c>
      <c r="C21" s="5">
        <v>72980.27</v>
      </c>
      <c r="D21" s="5">
        <f>((C21-'2022'!C21)/'2022'!C21)*100</f>
        <v>2.189032769</v>
      </c>
      <c r="G21" s="3">
        <v>19.0</v>
      </c>
      <c r="H21" s="4" t="s">
        <v>21</v>
      </c>
      <c r="I21" s="13">
        <v>72979.97</v>
      </c>
      <c r="J21" s="14">
        <f>((I21-'2022'!C21)/'2022'!C21)*100</f>
        <v>2.1886127</v>
      </c>
      <c r="K21" s="15">
        <f t="shared" si="1"/>
        <v>6.619873749</v>
      </c>
    </row>
    <row r="22" ht="14.25" customHeight="1">
      <c r="A22" s="3">
        <v>20.0</v>
      </c>
      <c r="B22" s="4" t="s">
        <v>22</v>
      </c>
      <c r="C22" s="5">
        <v>24451.04</v>
      </c>
      <c r="D22" s="5">
        <f>((C22-'2022'!C22)/'2022'!C22)*100</f>
        <v>5.166441934</v>
      </c>
      <c r="G22" s="3">
        <v>20.0</v>
      </c>
      <c r="H22" s="4" t="s">
        <v>22</v>
      </c>
      <c r="I22" s="13">
        <v>24447.15</v>
      </c>
      <c r="J22" s="14">
        <f>((I22-'2022'!C22)/'2022'!C22)*100</f>
        <v>5.149710643</v>
      </c>
      <c r="K22" s="15">
        <f t="shared" si="1"/>
        <v>2.217554303</v>
      </c>
    </row>
    <row r="23" ht="14.25" customHeight="1">
      <c r="A23" s="3">
        <v>21.0</v>
      </c>
      <c r="B23" s="4" t="s">
        <v>23</v>
      </c>
      <c r="C23" s="5">
        <v>20839.75</v>
      </c>
      <c r="D23" s="5">
        <f>((C23-'2022'!C23)/'2022'!C23)*100</f>
        <v>5.005031132</v>
      </c>
      <c r="G23" s="3">
        <v>21.0</v>
      </c>
      <c r="H23" s="4" t="s">
        <v>23</v>
      </c>
      <c r="I23" s="13">
        <v>20840.01</v>
      </c>
      <c r="J23" s="14">
        <f>((I23-'2022'!C23)/'2022'!C23)*100</f>
        <v>5.006341191</v>
      </c>
      <c r="K23" s="15">
        <f t="shared" si="1"/>
        <v>1.89035752</v>
      </c>
    </row>
    <row r="24" ht="14.25" customHeight="1">
      <c r="A24" s="3">
        <v>22.0</v>
      </c>
      <c r="B24" s="4" t="s">
        <v>24</v>
      </c>
      <c r="C24" s="5">
        <v>39651.89</v>
      </c>
      <c r="D24" s="5">
        <f>((C24-'2022'!C24)/'2022'!C24)*100</f>
        <v>4.738691402</v>
      </c>
      <c r="G24" s="3">
        <v>22.0</v>
      </c>
      <c r="H24" s="4" t="s">
        <v>24</v>
      </c>
      <c r="I24" s="13">
        <v>39651.41</v>
      </c>
      <c r="J24" s="14">
        <f>((I24-'2022'!C24)/'2022'!C24)*100</f>
        <v>4.737423503</v>
      </c>
      <c r="K24" s="15">
        <f t="shared" si="1"/>
        <v>3.596703701</v>
      </c>
    </row>
    <row r="25" ht="14.25" customHeight="1">
      <c r="A25" s="3">
        <v>23.0</v>
      </c>
      <c r="B25" s="4" t="s">
        <v>25</v>
      </c>
      <c r="C25" s="5">
        <v>16998.53</v>
      </c>
      <c r="D25" s="5">
        <f>((C25-'2022'!C25)/'2022'!C25)*100</f>
        <v>5.01106727</v>
      </c>
      <c r="G25" s="3">
        <v>23.0</v>
      </c>
      <c r="H25" s="4" t="s">
        <v>25</v>
      </c>
      <c r="I25" s="13">
        <v>16998.53</v>
      </c>
      <c r="J25" s="14">
        <f>((I25-'2022'!C25)/'2022'!C25)*100</f>
        <v>5.01106727</v>
      </c>
      <c r="K25" s="15">
        <f t="shared" si="1"/>
        <v>1.541904204</v>
      </c>
    </row>
    <row r="26" ht="14.25" customHeight="1">
      <c r="A26" s="3">
        <v>24.0</v>
      </c>
      <c r="B26" s="4" t="s">
        <v>26</v>
      </c>
      <c r="C26" s="5">
        <v>35287.7</v>
      </c>
      <c r="D26" s="5">
        <f>((C26-'2022'!C26)/'2022'!C26)*100</f>
        <v>5.560268701</v>
      </c>
      <c r="G26" s="3">
        <v>24.0</v>
      </c>
      <c r="H26" s="4" t="s">
        <v>26</v>
      </c>
      <c r="I26" s="13">
        <v>35286.12</v>
      </c>
      <c r="J26" s="14">
        <f>((I26-'2022'!C26)/'2022'!C26)*100</f>
        <v>5.55554226</v>
      </c>
      <c r="K26" s="15">
        <f t="shared" si="1"/>
        <v>3.200736579</v>
      </c>
    </row>
    <row r="27" ht="14.25" customHeight="1">
      <c r="A27" s="3">
        <v>25.0</v>
      </c>
      <c r="B27" s="4" t="s">
        <v>27</v>
      </c>
      <c r="C27" s="5">
        <v>17629.39</v>
      </c>
      <c r="D27" s="5">
        <f>((C27-'2022'!C27)/'2022'!C27)*100</f>
        <v>5.533675866</v>
      </c>
      <c r="G27" s="3">
        <v>25.0</v>
      </c>
      <c r="H27" s="4" t="s">
        <v>27</v>
      </c>
      <c r="I27" s="13">
        <v>17629.39</v>
      </c>
      <c r="J27" s="14">
        <f>((I27-'2022'!C27)/'2022'!C27)*100</f>
        <v>5.533675866</v>
      </c>
      <c r="K27" s="15">
        <f t="shared" si="1"/>
        <v>1.59912831</v>
      </c>
    </row>
    <row r="28" ht="14.25" customHeight="1">
      <c r="A28" s="3">
        <v>26.0</v>
      </c>
      <c r="B28" s="4" t="s">
        <v>28</v>
      </c>
      <c r="C28" s="5">
        <v>18360.81</v>
      </c>
      <c r="D28" s="5">
        <f>((C28-'2022'!C28)/'2022'!C28)*100</f>
        <v>5.138684175</v>
      </c>
      <c r="G28" s="3">
        <v>26.0</v>
      </c>
      <c r="H28" s="4" t="s">
        <v>28</v>
      </c>
      <c r="I28" s="13">
        <v>18358.47</v>
      </c>
      <c r="J28" s="14">
        <f>((I28-'2022'!C28)/'2022'!C28)*100</f>
        <v>5.125284738</v>
      </c>
      <c r="K28" s="15">
        <f t="shared" si="1"/>
        <v>1.665261765</v>
      </c>
    </row>
    <row r="29" ht="14.25" customHeight="1">
      <c r="A29" s="3">
        <v>27.0</v>
      </c>
      <c r="B29" s="4" t="s">
        <v>29</v>
      </c>
      <c r="C29" s="5">
        <v>20719.54</v>
      </c>
      <c r="D29" s="5">
        <f>((C29-'2022'!C29)/'2022'!C29)*100</f>
        <v>4.143202093</v>
      </c>
      <c r="G29" s="3">
        <v>27.0</v>
      </c>
      <c r="H29" s="4" t="s">
        <v>29</v>
      </c>
      <c r="I29" s="13">
        <v>20715.43</v>
      </c>
      <c r="J29" s="14">
        <f>((I29-'2022'!C29)/'2022'!C29)*100</f>
        <v>4.122543885</v>
      </c>
      <c r="K29" s="15">
        <f t="shared" si="1"/>
        <v>1.879057106</v>
      </c>
    </row>
    <row r="30" ht="14.25" customHeight="1">
      <c r="A30" s="3">
        <v>28.0</v>
      </c>
      <c r="B30" s="4" t="s">
        <v>30</v>
      </c>
      <c r="C30" s="5">
        <v>28022.85</v>
      </c>
      <c r="D30" s="5">
        <f>((C30-'2022'!C30)/'2022'!C30)*100</f>
        <v>4.933782733</v>
      </c>
      <c r="G30" s="3">
        <v>28.0</v>
      </c>
      <c r="H30" s="4" t="s">
        <v>30</v>
      </c>
      <c r="I30" s="13">
        <v>28015.7</v>
      </c>
      <c r="J30" s="14">
        <f>((I30-'2022'!C30)/'2022'!C30)*100</f>
        <v>4.907008991</v>
      </c>
      <c r="K30" s="15">
        <f t="shared" si="1"/>
        <v>2.541250661</v>
      </c>
    </row>
    <row r="31" ht="14.25" customHeight="1">
      <c r="A31" s="3">
        <v>29.0</v>
      </c>
      <c r="B31" s="4" t="s">
        <v>31</v>
      </c>
      <c r="C31" s="5">
        <v>36702.96</v>
      </c>
      <c r="D31" s="5">
        <f>((C31-'2022'!C31)/'2022'!C31)*100</f>
        <v>3.743363575</v>
      </c>
      <c r="G31" s="3">
        <v>29.0</v>
      </c>
      <c r="H31" s="4" t="s">
        <v>31</v>
      </c>
      <c r="I31" s="13">
        <v>36699.04</v>
      </c>
      <c r="J31" s="14">
        <f>((I31-'2022'!C31)/'2022'!C31)*100</f>
        <v>3.732283433</v>
      </c>
      <c r="K31" s="15">
        <f t="shared" si="1"/>
        <v>3.328899854</v>
      </c>
    </row>
    <row r="32" ht="14.25" customHeight="1">
      <c r="A32" s="3">
        <v>30.0</v>
      </c>
      <c r="B32" s="4" t="s">
        <v>32</v>
      </c>
      <c r="C32" s="5">
        <v>7264.92</v>
      </c>
      <c r="D32" s="5">
        <f>((C32-'2022'!C32)/'2022'!C32)*100</f>
        <v>5.449927062</v>
      </c>
      <c r="G32" s="3">
        <v>30.0</v>
      </c>
      <c r="H32" s="4" t="s">
        <v>32</v>
      </c>
      <c r="I32" s="13">
        <v>7264.83</v>
      </c>
      <c r="J32" s="14">
        <f>((I32-'2022'!C32)/'2022'!C32)*100</f>
        <v>5.448620717</v>
      </c>
      <c r="K32" s="15">
        <f t="shared" si="1"/>
        <v>0.6589788597</v>
      </c>
    </row>
    <row r="33" ht="14.25" customHeight="1">
      <c r="A33" s="3">
        <v>31.0</v>
      </c>
      <c r="B33" s="4" t="s">
        <v>33</v>
      </c>
      <c r="C33" s="5">
        <v>40620.31</v>
      </c>
      <c r="D33" s="5">
        <f>((C33-'2022'!C33)/'2022'!C33)*100</f>
        <v>5.573137949</v>
      </c>
      <c r="G33" s="3">
        <v>31.0</v>
      </c>
      <c r="H33" s="4" t="s">
        <v>33</v>
      </c>
      <c r="I33" s="13">
        <v>40609.7</v>
      </c>
      <c r="J33" s="14">
        <f>((I33-'2022'!C33)/'2022'!C33)*100</f>
        <v>5.54556231</v>
      </c>
      <c r="K33" s="15">
        <f t="shared" si="1"/>
        <v>3.683628357</v>
      </c>
    </row>
    <row r="34" ht="14.25" customHeight="1">
      <c r="A34" s="3">
        <v>32.0</v>
      </c>
      <c r="B34" s="4" t="s">
        <v>34</v>
      </c>
      <c r="C34" s="5">
        <v>10918.73</v>
      </c>
      <c r="D34" s="5">
        <f>((C34-'2022'!C34)/'2022'!C34)*100</f>
        <v>5.337834187</v>
      </c>
      <c r="G34" s="3">
        <v>32.0</v>
      </c>
      <c r="H34" s="4" t="s">
        <v>34</v>
      </c>
      <c r="I34" s="13">
        <v>10918.72</v>
      </c>
      <c r="J34" s="14">
        <f>((I34-'2022'!C34)/'2022'!C34)*100</f>
        <v>5.337737713</v>
      </c>
      <c r="K34" s="15">
        <f t="shared" si="1"/>
        <v>0.9904162457</v>
      </c>
    </row>
    <row r="35" ht="14.25" customHeight="1">
      <c r="A35" s="3">
        <v>33.0</v>
      </c>
      <c r="B35" s="4" t="s">
        <v>35</v>
      </c>
      <c r="C35" s="5">
        <v>161848.3</v>
      </c>
      <c r="D35" s="5">
        <f>((C35-'2022'!C35)/'2022'!C35)*100</f>
        <v>5.786376206</v>
      </c>
      <c r="G35" s="3">
        <v>33.0</v>
      </c>
      <c r="H35" s="4" t="s">
        <v>35</v>
      </c>
      <c r="I35" s="13">
        <v>161815.79</v>
      </c>
      <c r="J35" s="14">
        <f>((I35-'2022'!C35)/'2022'!C35)*100</f>
        <v>5.765127202</v>
      </c>
      <c r="K35" s="15">
        <f t="shared" si="1"/>
        <v>14.67800138</v>
      </c>
    </row>
    <row r="36" ht="14.25" customHeight="1">
      <c r="A36" s="3">
        <v>34.0</v>
      </c>
      <c r="B36" s="4" t="s">
        <v>36</v>
      </c>
      <c r="C36" s="5">
        <v>8476.55</v>
      </c>
      <c r="D36" s="5">
        <f>((C36-'2022'!C36)/'2022'!C36)*100</f>
        <v>5.436676796</v>
      </c>
      <c r="G36" s="3">
        <v>34.0</v>
      </c>
      <c r="H36" s="4" t="s">
        <v>36</v>
      </c>
      <c r="I36" s="13">
        <v>8476.55</v>
      </c>
      <c r="J36" s="14">
        <f>((I36-'2022'!C36)/'2022'!C36)*100</f>
        <v>5.436676796</v>
      </c>
      <c r="K36" s="15">
        <f t="shared" si="1"/>
        <v>0.7688916675</v>
      </c>
    </row>
    <row r="37" ht="14.25" customHeight="1">
      <c r="A37" s="3">
        <v>35.0</v>
      </c>
      <c r="B37" s="4" t="s">
        <v>37</v>
      </c>
      <c r="C37" s="5">
        <v>12468.61</v>
      </c>
      <c r="D37" s="5">
        <f>((C37-'2022'!C37)/'2022'!C37)*100</f>
        <v>5.014739076</v>
      </c>
      <c r="G37" s="3">
        <v>35.0</v>
      </c>
      <c r="H37" s="4" t="s">
        <v>37</v>
      </c>
      <c r="I37" s="13">
        <v>12468.61</v>
      </c>
      <c r="J37" s="14">
        <f>((I37-'2022'!C37)/'2022'!C37)*100</f>
        <v>5.014739076</v>
      </c>
      <c r="K37" s="15">
        <f t="shared" si="1"/>
        <v>1.131003809</v>
      </c>
    </row>
    <row r="38" ht="14.25" customHeight="1">
      <c r="A38" s="6" t="s">
        <v>38</v>
      </c>
      <c r="B38" s="7"/>
      <c r="C38" s="8">
        <f>SUM(C3:C37)</f>
        <v>1101638.49</v>
      </c>
      <c r="D38" s="8">
        <f>((C38-'2022'!C38)/'2022'!C38)*100</f>
        <v>4.988434664</v>
      </c>
      <c r="G38" s="6" t="s">
        <v>38</v>
      </c>
      <c r="H38" s="7"/>
      <c r="I38" s="20">
        <v>1102437.49</v>
      </c>
      <c r="J38" s="14">
        <f>((I38-'2022'!C38)/'2022'!C38)*100</f>
        <v>5.064581023</v>
      </c>
      <c r="K38" s="15">
        <f t="shared" si="1"/>
        <v>100</v>
      </c>
      <c r="L38" s="21">
        <v>1102437.49</v>
      </c>
    </row>
    <row r="39" ht="14.25" customHeight="1"/>
    <row r="40" ht="14.25" customHeight="1"/>
    <row r="41" ht="14.25" customHeight="1">
      <c r="G41" s="22" t="s">
        <v>42</v>
      </c>
    </row>
    <row r="42" ht="14.25" customHeight="1">
      <c r="F42" s="23" t="s">
        <v>63</v>
      </c>
      <c r="G42" s="22" t="s">
        <v>64</v>
      </c>
      <c r="H42" s="23" t="s">
        <v>65</v>
      </c>
    </row>
    <row r="43" ht="14.25" customHeight="1">
      <c r="G43" s="22" t="s">
        <v>66</v>
      </c>
    </row>
    <row r="44" ht="14.25" customHeight="1">
      <c r="F44" s="23" t="s">
        <v>67</v>
      </c>
      <c r="G44" s="22" t="s">
        <v>68</v>
      </c>
    </row>
    <row r="45" ht="14.25" customHeight="1">
      <c r="G45" s="22" t="s">
        <v>69</v>
      </c>
    </row>
    <row r="46" ht="14.25" customHeight="1"/>
    <row r="47" ht="14.25" customHeight="1">
      <c r="F47" s="23" t="s">
        <v>70</v>
      </c>
      <c r="G47" s="16" t="s">
        <v>43</v>
      </c>
      <c r="H47" s="17" t="s">
        <v>71</v>
      </c>
    </row>
    <row r="48" ht="14.25" customHeight="1">
      <c r="G48" s="18" t="s">
        <v>45</v>
      </c>
      <c r="H48" s="19">
        <v>0.78</v>
      </c>
    </row>
    <row r="49" ht="14.25" customHeight="1">
      <c r="G49" s="18" t="s">
        <v>46</v>
      </c>
      <c r="H49" s="19">
        <v>0.16</v>
      </c>
    </row>
    <row r="50" ht="14.25" customHeight="1">
      <c r="G50" s="18" t="s">
        <v>47</v>
      </c>
      <c r="H50" s="19">
        <v>28.79</v>
      </c>
    </row>
    <row r="51" ht="14.25" customHeight="1">
      <c r="G51" s="18" t="s">
        <v>48</v>
      </c>
      <c r="H51" s="19">
        <v>0.09</v>
      </c>
    </row>
    <row r="52" ht="14.25" customHeight="1">
      <c r="G52" s="18" t="s">
        <v>49</v>
      </c>
      <c r="H52" s="19">
        <v>0.07</v>
      </c>
    </row>
    <row r="53" ht="14.25" customHeight="1">
      <c r="G53" s="18" t="s">
        <v>50</v>
      </c>
      <c r="H53" s="19">
        <v>26.43</v>
      </c>
    </row>
    <row r="54" ht="14.25" customHeight="1">
      <c r="G54" s="18" t="s">
        <v>51</v>
      </c>
      <c r="H54" s="19">
        <v>13.09</v>
      </c>
    </row>
    <row r="55" ht="14.25" customHeight="1">
      <c r="G55" s="18" t="s">
        <v>52</v>
      </c>
      <c r="H55" s="19">
        <v>4.62</v>
      </c>
    </row>
    <row r="56" ht="14.25" customHeight="1">
      <c r="G56" s="18" t="s">
        <v>53</v>
      </c>
      <c r="H56" s="19">
        <v>3.2</v>
      </c>
    </row>
    <row r="57" ht="14.25" customHeight="1">
      <c r="G57" s="18" t="s">
        <v>54</v>
      </c>
      <c r="H57" s="19">
        <v>8.55</v>
      </c>
    </row>
    <row r="58" ht="14.25" customHeight="1">
      <c r="G58" s="18" t="s">
        <v>55</v>
      </c>
      <c r="H58" s="19">
        <v>3.97</v>
      </c>
    </row>
    <row r="59" ht="14.25" customHeight="1">
      <c r="G59" s="18" t="s">
        <v>56</v>
      </c>
      <c r="H59" s="19">
        <v>2.64</v>
      </c>
    </row>
    <row r="60" ht="14.25" customHeight="1">
      <c r="G60" s="18" t="s">
        <v>57</v>
      </c>
      <c r="H60" s="19">
        <v>0.69</v>
      </c>
    </row>
    <row r="61" ht="14.25" customHeight="1">
      <c r="G61" s="18" t="s">
        <v>58</v>
      </c>
      <c r="H61" s="19">
        <v>2.59</v>
      </c>
    </row>
    <row r="62" ht="14.25" customHeight="1">
      <c r="G62" s="18" t="s">
        <v>59</v>
      </c>
      <c r="H62" s="19">
        <v>2.47</v>
      </c>
    </row>
    <row r="63" ht="14.25" customHeight="1">
      <c r="G63" s="18" t="s">
        <v>60</v>
      </c>
      <c r="H63" s="19">
        <v>0.83</v>
      </c>
    </row>
    <row r="64" ht="14.25" customHeight="1">
      <c r="G64" s="18" t="s">
        <v>61</v>
      </c>
      <c r="H64" s="19">
        <v>1.03</v>
      </c>
    </row>
    <row r="65" ht="14.25" customHeight="1">
      <c r="G65" s="18" t="s">
        <v>62</v>
      </c>
      <c r="H65" s="19">
        <v>100.0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G1:J1"/>
    <mergeCell ref="A38:B38"/>
    <mergeCell ref="G38:H3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3.57"/>
    <col customWidth="1" min="5" max="5" width="8.71"/>
    <col customWidth="1" min="6" max="6" width="16.86"/>
    <col customWidth="1" min="7" max="7" width="63.29"/>
    <col customWidth="1" min="8" max="8" width="18.57"/>
    <col customWidth="1" min="9" max="9" width="22.57"/>
    <col customWidth="1" min="10" max="10" width="17.57"/>
    <col customWidth="1" min="11" max="11" width="15.0"/>
    <col customWidth="1" min="12" max="26" width="8.71"/>
  </cols>
  <sheetData>
    <row r="1" ht="34.5" customHeight="1">
      <c r="A1" s="9" t="s">
        <v>39</v>
      </c>
      <c r="B1" s="10"/>
      <c r="C1" s="10"/>
      <c r="D1" s="7"/>
      <c r="F1" s="12" t="s">
        <v>41</v>
      </c>
      <c r="G1" s="10"/>
      <c r="H1" s="10"/>
      <c r="I1" s="7"/>
    </row>
    <row r="2" ht="14.25" customHeight="1">
      <c r="A2" s="1" t="s">
        <v>0</v>
      </c>
      <c r="B2" s="2" t="s">
        <v>1</v>
      </c>
      <c r="C2" s="2" t="s">
        <v>2</v>
      </c>
      <c r="D2" s="11" t="s">
        <v>40</v>
      </c>
      <c r="F2" s="1" t="s">
        <v>0</v>
      </c>
      <c r="G2" s="2" t="s">
        <v>1</v>
      </c>
      <c r="H2" s="2" t="s">
        <v>2</v>
      </c>
      <c r="I2" s="11" t="s">
        <v>40</v>
      </c>
      <c r="J2" s="11" t="s">
        <v>42</v>
      </c>
    </row>
    <row r="3" ht="14.25" customHeight="1">
      <c r="A3" s="3">
        <v>1.0</v>
      </c>
      <c r="B3" s="4" t="s">
        <v>3</v>
      </c>
      <c r="C3" s="5">
        <v>104540.67</v>
      </c>
      <c r="D3" s="5">
        <f>((C3-'2023'!C3)/'2023'!C3)*100</f>
        <v>2.652137564</v>
      </c>
      <c r="F3" s="3">
        <v>1.0</v>
      </c>
      <c r="G3" s="4" t="s">
        <v>3</v>
      </c>
      <c r="H3" s="4">
        <v>104565.53</v>
      </c>
      <c r="I3" s="5">
        <f>((H3-'2023'!I3)/'2023'!I3)*100</f>
        <v>2.699954516</v>
      </c>
      <c r="J3" s="15">
        <f t="shared" ref="J3:J38" si="1">H3/$H$38*100</f>
        <v>9.037651791</v>
      </c>
    </row>
    <row r="4" ht="14.25" customHeight="1">
      <c r="A4" s="3">
        <v>2.0</v>
      </c>
      <c r="B4" s="4" t="s">
        <v>4</v>
      </c>
      <c r="C4" s="5">
        <v>47795.71</v>
      </c>
      <c r="D4" s="5">
        <f>((C4-'2023'!C4)/'2023'!C4)*100</f>
        <v>5.285474807</v>
      </c>
      <c r="F4" s="3">
        <v>2.0</v>
      </c>
      <c r="G4" s="4" t="s">
        <v>4</v>
      </c>
      <c r="H4" s="4">
        <v>47815.82</v>
      </c>
      <c r="I4" s="5">
        <f>((H4-'2023'!I4)/'2023'!I4)*100</f>
        <v>5.353166666</v>
      </c>
      <c r="J4" s="15">
        <f t="shared" si="1"/>
        <v>4.132745574</v>
      </c>
    </row>
    <row r="5" ht="14.25" customHeight="1">
      <c r="A5" s="3">
        <v>3.0</v>
      </c>
      <c r="B5" s="4" t="s">
        <v>5</v>
      </c>
      <c r="C5" s="5">
        <v>20422.61</v>
      </c>
      <c r="D5" s="5">
        <f>((C5-'2023'!C5)/'2023'!C5)*100</f>
        <v>4.549792002</v>
      </c>
      <c r="F5" s="3">
        <v>3.0</v>
      </c>
      <c r="G5" s="4" t="s">
        <v>5</v>
      </c>
      <c r="H5" s="4">
        <v>20417.23</v>
      </c>
      <c r="I5" s="5">
        <f>((H5-'2023'!I5)/'2023'!I5)*100</f>
        <v>4.567751888</v>
      </c>
      <c r="J5" s="15">
        <f t="shared" si="1"/>
        <v>1.764671544</v>
      </c>
    </row>
    <row r="6" ht="14.25" customHeight="1">
      <c r="A6" s="3">
        <v>4.0</v>
      </c>
      <c r="B6" s="4" t="s">
        <v>6</v>
      </c>
      <c r="C6" s="5">
        <v>18051.84</v>
      </c>
      <c r="D6" s="5">
        <f>((C6-'2023'!C6)/'2023'!C6)*100</f>
        <v>5.109060642</v>
      </c>
      <c r="F6" s="3">
        <v>4.0</v>
      </c>
      <c r="G6" s="4" t="s">
        <v>6</v>
      </c>
      <c r="H6" s="4">
        <v>18059.43</v>
      </c>
      <c r="I6" s="5">
        <f>((H6-'2023'!I6)/'2023'!I6)*100</f>
        <v>5.153254351</v>
      </c>
      <c r="J6" s="15">
        <f t="shared" si="1"/>
        <v>1.560885694</v>
      </c>
    </row>
    <row r="7" ht="14.25" customHeight="1">
      <c r="A7" s="3">
        <v>5.0</v>
      </c>
      <c r="B7" s="4" t="s">
        <v>7</v>
      </c>
      <c r="C7" s="5">
        <v>23837.83</v>
      </c>
      <c r="D7" s="5">
        <f>((C7-'2023'!C7)/'2023'!C7)*100</f>
        <v>5.295884517</v>
      </c>
      <c r="F7" s="3">
        <v>5.0</v>
      </c>
      <c r="G7" s="4" t="s">
        <v>7</v>
      </c>
      <c r="H7" s="4">
        <v>23847.86</v>
      </c>
      <c r="I7" s="5">
        <f>((H7-'2023'!I7)/'2023'!I7)*100</f>
        <v>5.38133792</v>
      </c>
      <c r="J7" s="15">
        <f t="shared" si="1"/>
        <v>2.061182635</v>
      </c>
    </row>
    <row r="8" ht="14.25" customHeight="1">
      <c r="A8" s="3">
        <v>6.0</v>
      </c>
      <c r="B8" s="4" t="s">
        <v>8</v>
      </c>
      <c r="C8" s="5">
        <v>15745.98</v>
      </c>
      <c r="D8" s="5">
        <f>((C8-'2023'!C8)/'2023'!C8)*100</f>
        <v>4.792188959</v>
      </c>
      <c r="F8" s="3">
        <v>6.0</v>
      </c>
      <c r="G8" s="4" t="s">
        <v>8</v>
      </c>
      <c r="H8" s="4">
        <v>15753.02</v>
      </c>
      <c r="I8" s="5">
        <f>((H8-'2023'!I8)/'2023'!I8)*100</f>
        <v>4.840925245</v>
      </c>
      <c r="J8" s="15">
        <f t="shared" si="1"/>
        <v>1.361541508</v>
      </c>
    </row>
    <row r="9" ht="14.25" customHeight="1">
      <c r="A9" s="3">
        <v>7.0</v>
      </c>
      <c r="B9" s="4" t="s">
        <v>9</v>
      </c>
      <c r="C9" s="5">
        <v>16109.38</v>
      </c>
      <c r="D9" s="5">
        <f>((C9-'2023'!C9)/'2023'!C9)*100</f>
        <v>4.56575953</v>
      </c>
      <c r="F9" s="3">
        <v>7.0</v>
      </c>
      <c r="G9" s="4" t="s">
        <v>9</v>
      </c>
      <c r="H9" s="4">
        <v>16116.16</v>
      </c>
      <c r="I9" s="5">
        <f>((H9-'2023'!I9)/'2023'!I9)*100</f>
        <v>4.616219508</v>
      </c>
      <c r="J9" s="15">
        <f t="shared" si="1"/>
        <v>1.392927883</v>
      </c>
    </row>
    <row r="10" ht="14.25" customHeight="1">
      <c r="A10" s="3">
        <v>8.0</v>
      </c>
      <c r="B10" s="4" t="s">
        <v>10</v>
      </c>
      <c r="C10" s="5">
        <v>27538.21</v>
      </c>
      <c r="D10" s="5">
        <f>((C10-'2023'!C10)/'2023'!C10)*100</f>
        <v>5.061316457</v>
      </c>
      <c r="F10" s="3">
        <v>8.0</v>
      </c>
      <c r="G10" s="4" t="s">
        <v>10</v>
      </c>
      <c r="H10" s="4">
        <v>27538.45</v>
      </c>
      <c r="I10" s="5">
        <f>((H10-'2023'!I10)/'2023'!I10)*100</f>
        <v>5.076864199</v>
      </c>
      <c r="J10" s="15">
        <f t="shared" si="1"/>
        <v>2.3801622</v>
      </c>
    </row>
    <row r="11" ht="14.25" customHeight="1">
      <c r="A11" s="3">
        <v>9.0</v>
      </c>
      <c r="B11" s="4" t="s">
        <v>11</v>
      </c>
      <c r="C11" s="5">
        <v>27556.18</v>
      </c>
      <c r="D11" s="5">
        <f>((C11-'2023'!C11)/'2023'!C11)*100</f>
        <v>4.643933456</v>
      </c>
      <c r="F11" s="3">
        <v>9.0</v>
      </c>
      <c r="G11" s="4" t="s">
        <v>11</v>
      </c>
      <c r="H11" s="4">
        <v>27562.18</v>
      </c>
      <c r="I11" s="5">
        <f>((H11-'2023'!I11)/'2023'!I11)*100</f>
        <v>4.692281834</v>
      </c>
      <c r="J11" s="15">
        <f t="shared" si="1"/>
        <v>2.382213196</v>
      </c>
    </row>
    <row r="12" ht="14.25" customHeight="1">
      <c r="A12" s="3">
        <v>10.0</v>
      </c>
      <c r="B12" s="4" t="s">
        <v>12</v>
      </c>
      <c r="C12" s="5">
        <v>33568.92</v>
      </c>
      <c r="D12" s="5">
        <f>((C12-'2023'!C12)/'2023'!C12)*100</f>
        <v>5.105432876</v>
      </c>
      <c r="F12" s="3">
        <v>10.0</v>
      </c>
      <c r="G12" s="4" t="s">
        <v>12</v>
      </c>
      <c r="H12" s="4">
        <v>33580.87</v>
      </c>
      <c r="I12" s="5">
        <f>((H12-'2023'!I12)/'2023'!I12)*100</f>
        <v>5.169290611</v>
      </c>
      <c r="J12" s="15">
        <f t="shared" si="1"/>
        <v>2.902411625</v>
      </c>
    </row>
    <row r="13" ht="14.25" customHeight="1">
      <c r="A13" s="3">
        <v>11.0</v>
      </c>
      <c r="B13" s="4" t="s">
        <v>13</v>
      </c>
      <c r="C13" s="5">
        <v>32187.41</v>
      </c>
      <c r="D13" s="5">
        <f>((C13-'2023'!C13)/'2023'!C13)*100</f>
        <v>4.972694793</v>
      </c>
      <c r="F13" s="3">
        <v>11.0</v>
      </c>
      <c r="G13" s="4" t="s">
        <v>13</v>
      </c>
      <c r="H13" s="4">
        <v>32188.46</v>
      </c>
      <c r="I13" s="5">
        <f>((H13-'2023'!I13)/'2023'!I13)*100</f>
        <v>4.992280953</v>
      </c>
      <c r="J13" s="15">
        <f t="shared" si="1"/>
        <v>2.782064923</v>
      </c>
    </row>
    <row r="14" ht="14.25" customHeight="1">
      <c r="A14" s="3">
        <v>12.0</v>
      </c>
      <c r="B14" s="4" t="s">
        <v>14</v>
      </c>
      <c r="C14" s="5">
        <v>24728.69</v>
      </c>
      <c r="D14" s="5">
        <f>((C14-'2023'!C14)/'2023'!C14)*100</f>
        <v>4.929842219</v>
      </c>
      <c r="F14" s="3">
        <v>12.0</v>
      </c>
      <c r="G14" s="4" t="s">
        <v>14</v>
      </c>
      <c r="H14" s="4">
        <v>24739.08</v>
      </c>
      <c r="I14" s="5">
        <f>((H14-'2023'!I14)/'2023'!I14)*100</f>
        <v>4.96711488</v>
      </c>
      <c r="J14" s="15">
        <f t="shared" si="1"/>
        <v>2.138211231</v>
      </c>
    </row>
    <row r="15" ht="14.25" customHeight="1">
      <c r="A15" s="3">
        <v>13.0</v>
      </c>
      <c r="B15" s="4" t="s">
        <v>15</v>
      </c>
      <c r="C15" s="5">
        <v>31883.1</v>
      </c>
      <c r="D15" s="5">
        <f>((C15-'2023'!C15)/'2023'!C15)*100</f>
        <v>5.544381268</v>
      </c>
      <c r="F15" s="3">
        <v>13.0</v>
      </c>
      <c r="G15" s="4" t="s">
        <v>15</v>
      </c>
      <c r="H15" s="4">
        <v>31876.51</v>
      </c>
      <c r="I15" s="5">
        <f>((H15-'2023'!I15)/'2023'!I15)*100</f>
        <v>5.557509312</v>
      </c>
      <c r="J15" s="15">
        <f t="shared" si="1"/>
        <v>2.755102926</v>
      </c>
    </row>
    <row r="16" ht="14.25" customHeight="1">
      <c r="A16" s="3">
        <v>14.0</v>
      </c>
      <c r="B16" s="4" t="s">
        <v>16</v>
      </c>
      <c r="C16" s="5">
        <v>32084.08</v>
      </c>
      <c r="D16" s="5">
        <f>((C16-'2023'!C16)/'2023'!C16)*100</f>
        <v>5.393468735</v>
      </c>
      <c r="F16" s="3">
        <v>14.0</v>
      </c>
      <c r="G16" s="4" t="s">
        <v>16</v>
      </c>
      <c r="H16" s="4">
        <v>32091.21</v>
      </c>
      <c r="I16" s="5">
        <f>((H16-'2023'!I16)/'2023'!I16)*100</f>
        <v>5.430223856</v>
      </c>
      <c r="J16" s="15">
        <f t="shared" si="1"/>
        <v>2.773659556</v>
      </c>
    </row>
    <row r="17" ht="14.25" customHeight="1">
      <c r="A17" s="3">
        <v>15.0</v>
      </c>
      <c r="B17" s="4" t="s">
        <v>17</v>
      </c>
      <c r="C17" s="5">
        <v>23591.06</v>
      </c>
      <c r="D17" s="5">
        <f>((C17-'2023'!C17)/'2023'!C17)*100</f>
        <v>5.40663956</v>
      </c>
      <c r="F17" s="3">
        <v>15.0</v>
      </c>
      <c r="G17" s="4" t="s">
        <v>17</v>
      </c>
      <c r="H17" s="4">
        <v>23600.98</v>
      </c>
      <c r="I17" s="5">
        <f>((H17-'2023'!I17)/'2023'!I17)*100</f>
        <v>5.45096287</v>
      </c>
      <c r="J17" s="15">
        <f t="shared" si="1"/>
        <v>2.039844671</v>
      </c>
    </row>
    <row r="18" ht="14.25" customHeight="1">
      <c r="A18" s="3">
        <v>16.0</v>
      </c>
      <c r="B18" s="4" t="s">
        <v>18</v>
      </c>
      <c r="C18" s="5">
        <v>19776.06</v>
      </c>
      <c r="D18" s="5">
        <f>((C18-'2023'!C18)/'2023'!C18)*100</f>
        <v>3.060484793</v>
      </c>
      <c r="F18" s="3">
        <v>16.0</v>
      </c>
      <c r="G18" s="4" t="s">
        <v>18</v>
      </c>
      <c r="H18" s="4">
        <v>19778.45</v>
      </c>
      <c r="I18" s="5">
        <f>((H18-'2023'!I18)/'2023'!I18)*100</f>
        <v>3.100449497</v>
      </c>
      <c r="J18" s="15">
        <f t="shared" si="1"/>
        <v>1.709461465</v>
      </c>
    </row>
    <row r="19" ht="14.25" customHeight="1">
      <c r="A19" s="3">
        <v>17.0</v>
      </c>
      <c r="B19" s="4" t="s">
        <v>19</v>
      </c>
      <c r="C19" s="5">
        <v>16248.58</v>
      </c>
      <c r="D19" s="5">
        <f>((C19-'2023'!C19)/'2023'!C19)*100</f>
        <v>5.076647988</v>
      </c>
      <c r="F19" s="3">
        <v>17.0</v>
      </c>
      <c r="G19" s="4" t="s">
        <v>19</v>
      </c>
      <c r="H19" s="4">
        <v>16248.02</v>
      </c>
      <c r="I19" s="5">
        <f>((H19-'2023'!I19)/'2023'!I19)*100</f>
        <v>5.088996973</v>
      </c>
      <c r="J19" s="15">
        <f t="shared" si="1"/>
        <v>1.404324609</v>
      </c>
    </row>
    <row r="20" ht="14.25" customHeight="1">
      <c r="A20" s="3">
        <v>18.0</v>
      </c>
      <c r="B20" s="4" t="s">
        <v>20</v>
      </c>
      <c r="C20" s="5">
        <v>36780.74</v>
      </c>
      <c r="D20" s="5">
        <f>((C20-'2023'!C20)/'2023'!C20)*100</f>
        <v>5.133516594</v>
      </c>
      <c r="F20" s="3">
        <v>18.0</v>
      </c>
      <c r="G20" s="4" t="s">
        <v>20</v>
      </c>
      <c r="H20" s="4">
        <v>36787.62</v>
      </c>
      <c r="I20" s="5">
        <f>((H20-'2023'!I20)/'2023'!I20)*100</f>
        <v>5.167250761</v>
      </c>
      <c r="J20" s="15">
        <f t="shared" si="1"/>
        <v>3.179572654</v>
      </c>
    </row>
    <row r="21" ht="14.25" customHeight="1">
      <c r="A21" s="3">
        <v>19.0</v>
      </c>
      <c r="B21" s="4" t="s">
        <v>21</v>
      </c>
      <c r="C21" s="5">
        <v>75010.79</v>
      </c>
      <c r="D21" s="5">
        <f>((C21-'2023'!C21)/'2023'!C21)*100</f>
        <v>2.782286226</v>
      </c>
      <c r="F21" s="3">
        <v>19.0</v>
      </c>
      <c r="G21" s="4" t="s">
        <v>21</v>
      </c>
      <c r="H21" s="4">
        <v>75045.07</v>
      </c>
      <c r="I21" s="5">
        <f>((H21-'2023'!I21)/'2023'!I21)*100</f>
        <v>2.829680527</v>
      </c>
      <c r="J21" s="15">
        <f t="shared" si="1"/>
        <v>6.486183461</v>
      </c>
    </row>
    <row r="22" ht="14.25" customHeight="1">
      <c r="A22" s="3">
        <v>20.0</v>
      </c>
      <c r="B22" s="4" t="s">
        <v>22</v>
      </c>
      <c r="C22" s="5">
        <v>25482.07</v>
      </c>
      <c r="D22" s="5">
        <f>((C22-'2023'!C22)/'2023'!C22)*100</f>
        <v>4.216712254</v>
      </c>
      <c r="F22" s="3">
        <v>20.0</v>
      </c>
      <c r="G22" s="4" t="s">
        <v>22</v>
      </c>
      <c r="H22" s="4">
        <v>25488.89</v>
      </c>
      <c r="I22" s="5">
        <f>((H22-'2023'!I22)/'2023'!I22)*100</f>
        <v>4.261192</v>
      </c>
      <c r="J22" s="15">
        <f t="shared" si="1"/>
        <v>2.20301769</v>
      </c>
    </row>
    <row r="23" ht="14.25" customHeight="1">
      <c r="A23" s="3">
        <v>21.0</v>
      </c>
      <c r="B23" s="4" t="s">
        <v>23</v>
      </c>
      <c r="C23" s="5">
        <v>21894.6</v>
      </c>
      <c r="D23" s="5">
        <f>((C23-'2023'!C23)/'2023'!C23)*100</f>
        <v>5.06172099</v>
      </c>
      <c r="F23" s="3">
        <v>21.0</v>
      </c>
      <c r="G23" s="4" t="s">
        <v>23</v>
      </c>
      <c r="H23" s="4">
        <v>21907.94</v>
      </c>
      <c r="I23" s="5">
        <f>((H23-'2023'!I23)/'2023'!I23)*100</f>
        <v>5.124421725</v>
      </c>
      <c r="J23" s="15">
        <f t="shared" si="1"/>
        <v>1.893514365</v>
      </c>
    </row>
    <row r="24" ht="14.25" customHeight="1">
      <c r="A24" s="3">
        <v>22.0</v>
      </c>
      <c r="B24" s="4" t="s">
        <v>24</v>
      </c>
      <c r="C24" s="5">
        <v>41529.4</v>
      </c>
      <c r="D24" s="5">
        <f>((C24-'2023'!C24)/'2023'!C24)*100</f>
        <v>4.734982368</v>
      </c>
      <c r="F24" s="3">
        <v>22.0</v>
      </c>
      <c r="G24" s="4" t="s">
        <v>24</v>
      </c>
      <c r="H24" s="4">
        <v>41548.39</v>
      </c>
      <c r="I24" s="5">
        <f>((H24-'2023'!I24)/'2023'!I24)*100</f>
        <v>4.784142607</v>
      </c>
      <c r="J24" s="15">
        <f t="shared" si="1"/>
        <v>3.59104842</v>
      </c>
    </row>
    <row r="25" ht="14.25" customHeight="1">
      <c r="A25" s="3">
        <v>23.0</v>
      </c>
      <c r="B25" s="4" t="s">
        <v>25</v>
      </c>
      <c r="C25" s="5">
        <v>17855.6</v>
      </c>
      <c r="D25" s="5">
        <f>((C25-'2023'!C25)/'2023'!C25)*100</f>
        <v>5.042024222</v>
      </c>
      <c r="F25" s="3">
        <v>23.0</v>
      </c>
      <c r="G25" s="4" t="s">
        <v>25</v>
      </c>
      <c r="H25" s="4">
        <v>17852.53</v>
      </c>
      <c r="I25" s="5">
        <f>((H25-'2023'!I25)/'2023'!I25)*100</f>
        <v>5.023963837</v>
      </c>
      <c r="J25" s="15">
        <f t="shared" si="1"/>
        <v>1.543003222</v>
      </c>
    </row>
    <row r="26" ht="14.25" customHeight="1">
      <c r="A26" s="3">
        <v>24.0</v>
      </c>
      <c r="B26" s="4" t="s">
        <v>26</v>
      </c>
      <c r="C26" s="5">
        <v>37201.45</v>
      </c>
      <c r="D26" s="5">
        <f>((C26-'2023'!C26)/'2023'!C26)*100</f>
        <v>5.423277799</v>
      </c>
      <c r="F26" s="3">
        <v>24.0</v>
      </c>
      <c r="G26" s="4" t="s">
        <v>26</v>
      </c>
      <c r="H26" s="4">
        <v>37217.51</v>
      </c>
      <c r="I26" s="5">
        <f>((H26-'2023'!I26)/'2023'!I26)*100</f>
        <v>5.473511964</v>
      </c>
      <c r="J26" s="15">
        <f t="shared" si="1"/>
        <v>3.216728265</v>
      </c>
    </row>
    <row r="27" ht="14.25" customHeight="1">
      <c r="A27" s="3">
        <v>25.0</v>
      </c>
      <c r="B27" s="4" t="s">
        <v>27</v>
      </c>
      <c r="C27" s="5">
        <v>18693.22</v>
      </c>
      <c r="D27" s="5">
        <f>((C27-'2023'!C27)/'2023'!C27)*100</f>
        <v>6.034411854</v>
      </c>
      <c r="F27" s="3">
        <v>25.0</v>
      </c>
      <c r="G27" s="4" t="s">
        <v>27</v>
      </c>
      <c r="H27" s="4">
        <v>18702.48</v>
      </c>
      <c r="I27" s="5">
        <f>((H27-'2023'!I27)/'2023'!I27)*100</f>
        <v>6.086937778</v>
      </c>
      <c r="J27" s="15">
        <f t="shared" si="1"/>
        <v>1.616464832</v>
      </c>
    </row>
    <row r="28" ht="14.25" customHeight="1">
      <c r="A28" s="3">
        <v>26.0</v>
      </c>
      <c r="B28" s="4" t="s">
        <v>28</v>
      </c>
      <c r="C28" s="5">
        <v>19283.06</v>
      </c>
      <c r="D28" s="5">
        <f>((C28-'2023'!C28)/'2023'!C28)*100</f>
        <v>5.022926548</v>
      </c>
      <c r="F28" s="3">
        <v>26.0</v>
      </c>
      <c r="G28" s="4" t="s">
        <v>28</v>
      </c>
      <c r="H28" s="4">
        <v>19291.18</v>
      </c>
      <c r="I28" s="5">
        <f>((H28-'2023'!I28)/'2023'!I28)*100</f>
        <v>5.080543204</v>
      </c>
      <c r="J28" s="15">
        <f t="shared" si="1"/>
        <v>1.667346471</v>
      </c>
    </row>
    <row r="29" ht="14.25" customHeight="1">
      <c r="A29" s="3">
        <v>27.0</v>
      </c>
      <c r="B29" s="4" t="s">
        <v>29</v>
      </c>
      <c r="C29" s="5">
        <v>21778.06</v>
      </c>
      <c r="D29" s="5">
        <f>((C29-'2023'!C29)/'2023'!C29)*100</f>
        <v>5.108800678</v>
      </c>
      <c r="F29" s="3">
        <v>27.0</v>
      </c>
      <c r="G29" s="4" t="s">
        <v>29</v>
      </c>
      <c r="H29" s="4">
        <v>21788.37</v>
      </c>
      <c r="I29" s="5">
        <f>((H29-'2023'!I29)/'2023'!I29)*100</f>
        <v>5.179424226</v>
      </c>
      <c r="J29" s="15">
        <f t="shared" si="1"/>
        <v>1.88317987</v>
      </c>
    </row>
    <row r="30" ht="14.25" customHeight="1">
      <c r="A30" s="3">
        <v>28.0</v>
      </c>
      <c r="B30" s="4" t="s">
        <v>30</v>
      </c>
      <c r="C30" s="5">
        <v>29444.38</v>
      </c>
      <c r="D30" s="5">
        <f>((C30-'2023'!C30)/'2023'!C30)*100</f>
        <v>5.072753128</v>
      </c>
      <c r="F30" s="3">
        <v>28.0</v>
      </c>
      <c r="G30" s="4" t="s">
        <v>30</v>
      </c>
      <c r="H30" s="4">
        <v>29451.96</v>
      </c>
      <c r="I30" s="5">
        <f>((H30-'2023'!I30)/'2023'!I30)*100</f>
        <v>5.126625428</v>
      </c>
      <c r="J30" s="15">
        <f t="shared" si="1"/>
        <v>2.54554784</v>
      </c>
    </row>
    <row r="31" ht="14.25" customHeight="1">
      <c r="A31" s="3">
        <v>29.0</v>
      </c>
      <c r="B31" s="4" t="s">
        <v>31</v>
      </c>
      <c r="C31" s="5">
        <v>38546.98</v>
      </c>
      <c r="D31" s="5">
        <f>((C31-'2023'!C31)/'2023'!C31)*100</f>
        <v>5.024172437</v>
      </c>
      <c r="F31" s="3">
        <v>29.0</v>
      </c>
      <c r="G31" s="4" t="s">
        <v>31</v>
      </c>
      <c r="H31" s="4">
        <v>38563.2</v>
      </c>
      <c r="I31" s="5">
        <f>((H31-'2023'!I31)/'2023'!I31)*100</f>
        <v>5.079587913</v>
      </c>
      <c r="J31" s="15">
        <f t="shared" si="1"/>
        <v>3.333036934</v>
      </c>
    </row>
    <row r="32" ht="14.25" customHeight="1">
      <c r="A32" s="3">
        <v>30.0</v>
      </c>
      <c r="B32" s="4" t="s">
        <v>32</v>
      </c>
      <c r="C32" s="5">
        <v>7668.79</v>
      </c>
      <c r="D32" s="5">
        <f>((C32-'2023'!C32)/'2023'!C32)*100</f>
        <v>5.55918028</v>
      </c>
      <c r="F32" s="3">
        <v>30.0</v>
      </c>
      <c r="G32" s="4" t="s">
        <v>32</v>
      </c>
      <c r="H32" s="4">
        <v>7671.43</v>
      </c>
      <c r="I32" s="5">
        <f>((H32-'2023'!I32)/'2023'!I32)*100</f>
        <v>5.596827455</v>
      </c>
      <c r="J32" s="15">
        <f t="shared" si="1"/>
        <v>0.6630455857</v>
      </c>
    </row>
    <row r="33" ht="14.25" customHeight="1">
      <c r="A33" s="3">
        <v>31.0</v>
      </c>
      <c r="B33" s="4" t="s">
        <v>33</v>
      </c>
      <c r="C33" s="5">
        <v>42897.32</v>
      </c>
      <c r="D33" s="5">
        <f>((C33-'2023'!C33)/'2023'!C33)*100</f>
        <v>5.605594837</v>
      </c>
      <c r="F33" s="3">
        <v>31.0</v>
      </c>
      <c r="G33" s="4" t="s">
        <v>33</v>
      </c>
      <c r="H33" s="4">
        <v>42891.23</v>
      </c>
      <c r="I33" s="5">
        <f>((H33-'2023'!I33)/'2023'!I33)*100</f>
        <v>5.618189743</v>
      </c>
      <c r="J33" s="15">
        <f t="shared" si="1"/>
        <v>3.707110762</v>
      </c>
    </row>
    <row r="34" ht="14.25" customHeight="1">
      <c r="A34" s="3">
        <v>32.0</v>
      </c>
      <c r="B34" s="4" t="s">
        <v>34</v>
      </c>
      <c r="C34" s="5">
        <v>11505.05</v>
      </c>
      <c r="D34" s="5">
        <f>((C34-'2023'!C34)/'2023'!C34)*100</f>
        <v>5.369855285</v>
      </c>
      <c r="F34" s="3">
        <v>32.0</v>
      </c>
      <c r="G34" s="4" t="s">
        <v>34</v>
      </c>
      <c r="H34" s="4">
        <v>11509.89</v>
      </c>
      <c r="I34" s="5">
        <f>((H34-'2023'!I34)/'2023'!I34)*100</f>
        <v>5.414279329</v>
      </c>
      <c r="J34" s="15">
        <f t="shared" si="1"/>
        <v>0.9948056302</v>
      </c>
    </row>
    <row r="35" ht="14.25" customHeight="1">
      <c r="A35" s="3">
        <v>33.0</v>
      </c>
      <c r="B35" s="4" t="s">
        <v>35</v>
      </c>
      <c r="C35" s="5">
        <v>170947.72</v>
      </c>
      <c r="D35" s="5">
        <f>((C35-'2023'!C35)/'2023'!C35)*100</f>
        <v>5.622190656</v>
      </c>
      <c r="F35" s="3">
        <v>33.0</v>
      </c>
      <c r="G35" s="4" t="s">
        <v>35</v>
      </c>
      <c r="H35" s="4">
        <v>171014.75</v>
      </c>
      <c r="I35" s="5">
        <f>((H35-'2023'!I35)/'2023'!I35)*100</f>
        <v>5.684834589</v>
      </c>
      <c r="J35" s="24">
        <f t="shared" si="1"/>
        <v>14.78089158</v>
      </c>
    </row>
    <row r="36" ht="14.25" customHeight="1">
      <c r="A36" s="3">
        <v>34.0</v>
      </c>
      <c r="B36" s="4" t="s">
        <v>36</v>
      </c>
      <c r="C36" s="5">
        <v>8928.8</v>
      </c>
      <c r="D36" s="5">
        <f>((C36-'2023'!C36)/'2023'!C36)*100</f>
        <v>5.335307407</v>
      </c>
      <c r="F36" s="3">
        <v>34.0</v>
      </c>
      <c r="G36" s="4" t="s">
        <v>36</v>
      </c>
      <c r="H36" s="4">
        <v>8930.31</v>
      </c>
      <c r="I36" s="5">
        <f>((H36-'2023'!I36)/'2023'!I36)*100</f>
        <v>5.353121258</v>
      </c>
      <c r="J36" s="15">
        <f t="shared" si="1"/>
        <v>0.7718512225</v>
      </c>
    </row>
    <row r="37" ht="14.25" customHeight="1">
      <c r="A37" s="3">
        <v>35.0</v>
      </c>
      <c r="B37" s="4" t="s">
        <v>37</v>
      </c>
      <c r="C37" s="5">
        <v>13119.7</v>
      </c>
      <c r="D37" s="5">
        <f>((C37-'2023'!C37)/'2023'!C37)*100</f>
        <v>5.221833067</v>
      </c>
      <c r="F37" s="3">
        <v>35.0</v>
      </c>
      <c r="G37" s="4" t="s">
        <v>37</v>
      </c>
      <c r="H37" s="4">
        <v>13125.22</v>
      </c>
      <c r="I37" s="5">
        <f>((H37-'2023'!I37)/'2023'!I37)*100</f>
        <v>5.266104241</v>
      </c>
      <c r="J37" s="15">
        <f t="shared" si="1"/>
        <v>1.134419421</v>
      </c>
    </row>
    <row r="38" ht="14.25" customHeight="1">
      <c r="A38" s="6" t="s">
        <v>38</v>
      </c>
      <c r="B38" s="7"/>
      <c r="C38" s="8">
        <f>SUM(C3:C37)</f>
        <v>1154234.04</v>
      </c>
      <c r="D38" s="8">
        <f>((C38-'2023'!C38)/'2023'!C38)*100</f>
        <v>4.77430214</v>
      </c>
      <c r="F38" s="6" t="s">
        <v>38</v>
      </c>
      <c r="G38" s="7"/>
      <c r="H38" s="20">
        <v>1156998.88</v>
      </c>
      <c r="I38" s="5">
        <f>((H38-'2023'!I38)/'2023'!I38)*100</f>
        <v>4.949159521</v>
      </c>
      <c r="J38" s="15">
        <f t="shared" si="1"/>
        <v>100</v>
      </c>
    </row>
    <row r="39" ht="14.25" customHeight="1"/>
    <row r="40" ht="14.25" customHeight="1">
      <c r="K40" s="21">
        <v>1156998.88</v>
      </c>
    </row>
    <row r="41" ht="14.25" customHeight="1"/>
    <row r="42" ht="14.25" customHeight="1">
      <c r="F42" s="25" t="s">
        <v>70</v>
      </c>
      <c r="G42" s="16" t="s">
        <v>43</v>
      </c>
      <c r="H42" s="17" t="s">
        <v>72</v>
      </c>
    </row>
    <row r="43" ht="14.25" customHeight="1">
      <c r="G43" s="18" t="s">
        <v>45</v>
      </c>
      <c r="H43" s="19">
        <v>0.75</v>
      </c>
    </row>
    <row r="44" ht="14.25" customHeight="1">
      <c r="G44" s="18" t="s">
        <v>46</v>
      </c>
      <c r="H44" s="19">
        <v>0.15</v>
      </c>
    </row>
    <row r="45" ht="14.25" customHeight="1">
      <c r="G45" s="18" t="s">
        <v>47</v>
      </c>
      <c r="H45" s="26">
        <v>28.39</v>
      </c>
    </row>
    <row r="46" ht="14.25" customHeight="1">
      <c r="G46" s="18" t="s">
        <v>48</v>
      </c>
      <c r="H46" s="19">
        <v>0.09</v>
      </c>
    </row>
    <row r="47" ht="14.25" customHeight="1">
      <c r="G47" s="18" t="s">
        <v>49</v>
      </c>
      <c r="H47" s="19">
        <v>0.07</v>
      </c>
    </row>
    <row r="48" ht="14.25" customHeight="1">
      <c r="G48" s="18" t="s">
        <v>50</v>
      </c>
      <c r="H48" s="19">
        <v>26.84</v>
      </c>
    </row>
    <row r="49" ht="14.25" customHeight="1">
      <c r="G49" s="18" t="s">
        <v>51</v>
      </c>
      <c r="H49" s="19">
        <v>12.96</v>
      </c>
    </row>
    <row r="50" ht="14.25" customHeight="1">
      <c r="G50" s="18" t="s">
        <v>52</v>
      </c>
      <c r="H50" s="19">
        <v>4.61</v>
      </c>
    </row>
    <row r="51" ht="14.25" customHeight="1">
      <c r="G51" s="18" t="s">
        <v>53</v>
      </c>
      <c r="H51" s="19">
        <v>3.23</v>
      </c>
    </row>
    <row r="52" ht="14.25" customHeight="1">
      <c r="G52" s="18" t="s">
        <v>54</v>
      </c>
      <c r="H52" s="19">
        <v>8.73</v>
      </c>
    </row>
    <row r="53" ht="14.25" customHeight="1">
      <c r="G53" s="18" t="s">
        <v>55</v>
      </c>
      <c r="H53" s="19">
        <v>3.78</v>
      </c>
    </row>
    <row r="54" ht="14.25" customHeight="1">
      <c r="G54" s="18" t="s">
        <v>56</v>
      </c>
      <c r="H54" s="19">
        <v>2.61</v>
      </c>
    </row>
    <row r="55" ht="14.25" customHeight="1">
      <c r="G55" s="18" t="s">
        <v>57</v>
      </c>
      <c r="H55" s="19">
        <v>0.72</v>
      </c>
    </row>
    <row r="56" ht="14.25" customHeight="1">
      <c r="G56" s="18" t="s">
        <v>58</v>
      </c>
      <c r="H56" s="19">
        <v>2.65</v>
      </c>
    </row>
    <row r="57" ht="14.25" customHeight="1">
      <c r="G57" s="18" t="s">
        <v>59</v>
      </c>
      <c r="H57" s="19">
        <v>2.55</v>
      </c>
    </row>
    <row r="58" ht="14.25" customHeight="1">
      <c r="G58" s="18" t="s">
        <v>60</v>
      </c>
      <c r="H58" s="19">
        <v>0.84</v>
      </c>
    </row>
    <row r="59" ht="14.25" customHeight="1">
      <c r="G59" s="18" t="s">
        <v>61</v>
      </c>
      <c r="H59" s="19">
        <v>1.03</v>
      </c>
    </row>
    <row r="60" ht="14.25" customHeight="1">
      <c r="G60" s="18" t="s">
        <v>62</v>
      </c>
      <c r="H60" s="19">
        <v>100.0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4">
    <mergeCell ref="A1:D1"/>
    <mergeCell ref="F1:I1"/>
    <mergeCell ref="A38:B38"/>
    <mergeCell ref="F38:G3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3.57"/>
    <col customWidth="1" min="5" max="6" width="8.71"/>
    <col customWidth="1" min="7" max="7" width="21.0"/>
    <col customWidth="1" min="8" max="8" width="23.86"/>
    <col customWidth="1" min="9" max="9" width="21.43"/>
    <col customWidth="1" min="10" max="10" width="16.71"/>
    <col customWidth="1" min="11" max="11" width="22.71"/>
    <col customWidth="1" min="12" max="12" width="11.71"/>
    <col customWidth="1" min="13" max="13" width="14.14"/>
    <col customWidth="1" min="14" max="26" width="8.71"/>
  </cols>
  <sheetData>
    <row r="1" ht="34.5" customHeight="1">
      <c r="A1" s="9" t="s">
        <v>39</v>
      </c>
      <c r="B1" s="10"/>
      <c r="C1" s="10"/>
      <c r="D1" s="7"/>
      <c r="G1" s="12" t="s">
        <v>41</v>
      </c>
      <c r="H1" s="10"/>
      <c r="I1" s="10"/>
      <c r="J1" s="7"/>
    </row>
    <row r="2" ht="14.25" customHeight="1">
      <c r="A2" s="1" t="s">
        <v>0</v>
      </c>
      <c r="B2" s="2" t="s">
        <v>1</v>
      </c>
      <c r="C2" s="2" t="s">
        <v>2</v>
      </c>
      <c r="D2" s="11" t="s">
        <v>40</v>
      </c>
      <c r="G2" s="1" t="s">
        <v>0</v>
      </c>
      <c r="H2" s="2" t="s">
        <v>1</v>
      </c>
      <c r="I2" s="2" t="s">
        <v>2</v>
      </c>
      <c r="J2" s="11" t="s">
        <v>40</v>
      </c>
      <c r="K2" s="11" t="s">
        <v>42</v>
      </c>
    </row>
    <row r="3" ht="14.25" customHeight="1">
      <c r="A3" s="3">
        <v>1.0</v>
      </c>
      <c r="B3" s="4" t="s">
        <v>3</v>
      </c>
      <c r="C3" s="4">
        <v>108031.28</v>
      </c>
      <c r="D3" s="5">
        <f>((C3-'2024'!C3)/'2024'!C3)*100</f>
        <v>3.338997158</v>
      </c>
      <c r="G3" s="3">
        <v>1.0</v>
      </c>
      <c r="H3" s="4" t="s">
        <v>3</v>
      </c>
      <c r="I3" s="4">
        <v>108031.28</v>
      </c>
      <c r="J3" s="5">
        <f>((I3-'2024'!H3)/'2024'!H3)*100</f>
        <v>3.314428761</v>
      </c>
      <c r="K3" s="15">
        <f t="shared" ref="K3:K38" si="1">I3/$I$38*100</f>
        <v>8.861206911</v>
      </c>
    </row>
    <row r="4" ht="14.25" customHeight="1">
      <c r="A4" s="3">
        <v>2.0</v>
      </c>
      <c r="B4" s="4" t="s">
        <v>4</v>
      </c>
      <c r="C4" s="4">
        <v>50668.64</v>
      </c>
      <c r="D4" s="5">
        <f>((C4-'2024'!C4)/'2024'!C4)*100</f>
        <v>6.010853275</v>
      </c>
      <c r="G4" s="3">
        <v>2.0</v>
      </c>
      <c r="H4" s="4" t="s">
        <v>4</v>
      </c>
      <c r="I4" s="4">
        <v>50668.64</v>
      </c>
      <c r="J4" s="5">
        <f>((I4-'2024'!H4)/'2024'!H4)*100</f>
        <v>5.966268068</v>
      </c>
      <c r="K4" s="15">
        <f t="shared" si="1"/>
        <v>4.156067603</v>
      </c>
    </row>
    <row r="5" ht="14.25" customHeight="1">
      <c r="A5" s="3">
        <v>3.0</v>
      </c>
      <c r="B5" s="4" t="s">
        <v>5</v>
      </c>
      <c r="C5" s="4">
        <v>21626.94</v>
      </c>
      <c r="D5" s="5">
        <f>((C5-'2024'!C5)/'2024'!C5)*100</f>
        <v>5.897042543</v>
      </c>
      <c r="G5" s="3">
        <v>3.0</v>
      </c>
      <c r="H5" s="4" t="s">
        <v>5</v>
      </c>
      <c r="I5" s="4">
        <v>21626.94</v>
      </c>
      <c r="J5" s="5">
        <f>((I5-'2024'!H5)/'2024'!H5)*100</f>
        <v>5.924946724</v>
      </c>
      <c r="K5" s="15">
        <f t="shared" si="1"/>
        <v>1.773937976</v>
      </c>
    </row>
    <row r="6" ht="14.25" customHeight="1">
      <c r="A6" s="3">
        <v>4.0</v>
      </c>
      <c r="B6" s="4" t="s">
        <v>6</v>
      </c>
      <c r="C6" s="4">
        <v>19008.78</v>
      </c>
      <c r="D6" s="5">
        <f>((C6-'2024'!C6)/'2024'!C6)*100</f>
        <v>5.301066262</v>
      </c>
      <c r="G6" s="3">
        <v>4.0</v>
      </c>
      <c r="H6" s="4" t="s">
        <v>6</v>
      </c>
      <c r="I6" s="4">
        <v>19008.78</v>
      </c>
      <c r="J6" s="5">
        <f>((I6-'2024'!H6)/'2024'!H6)*100</f>
        <v>5.256810431</v>
      </c>
      <c r="K6" s="15">
        <f t="shared" si="1"/>
        <v>1.559184828</v>
      </c>
    </row>
    <row r="7" ht="14.25" customHeight="1">
      <c r="A7" s="3">
        <v>5.0</v>
      </c>
      <c r="B7" s="4" t="s">
        <v>7</v>
      </c>
      <c r="C7" s="4">
        <v>25253.4</v>
      </c>
      <c r="D7" s="5">
        <f>((C7-'2024'!C7)/'2024'!C7)*100</f>
        <v>5.938334152</v>
      </c>
      <c r="G7" s="3">
        <v>5.0</v>
      </c>
      <c r="H7" s="4" t="s">
        <v>7</v>
      </c>
      <c r="I7" s="4">
        <v>25253.4</v>
      </c>
      <c r="J7" s="5">
        <f>((I7-'2024'!H7)/'2024'!H7)*100</f>
        <v>5.89377831</v>
      </c>
      <c r="K7" s="15">
        <f t="shared" si="1"/>
        <v>2.071396383</v>
      </c>
    </row>
    <row r="8" ht="14.25" customHeight="1">
      <c r="A8" s="3">
        <v>6.0</v>
      </c>
      <c r="B8" s="4" t="s">
        <v>8</v>
      </c>
      <c r="C8" s="4">
        <v>16583.69</v>
      </c>
      <c r="D8" s="5">
        <f>((C8-'2024'!C8)/'2024'!C8)*100</f>
        <v>5.320151556</v>
      </c>
      <c r="G8" s="3">
        <v>6.0</v>
      </c>
      <c r="H8" s="4" t="s">
        <v>8</v>
      </c>
      <c r="I8" s="4">
        <v>16583.69</v>
      </c>
      <c r="J8" s="5">
        <f>((I8-'2024'!H8)/'2024'!H8)*100</f>
        <v>5.273084145</v>
      </c>
      <c r="K8" s="15">
        <f t="shared" si="1"/>
        <v>1.360268141</v>
      </c>
    </row>
    <row r="9" ht="14.25" customHeight="1">
      <c r="A9" s="3">
        <v>7.0</v>
      </c>
      <c r="B9" s="4" t="s">
        <v>9</v>
      </c>
      <c r="C9" s="4">
        <v>16924.73</v>
      </c>
      <c r="D9" s="5">
        <f>((C9-'2024'!C9)/'2024'!C9)*100</f>
        <v>5.061336935</v>
      </c>
      <c r="G9" s="3">
        <v>7.0</v>
      </c>
      <c r="H9" s="4" t="s">
        <v>9</v>
      </c>
      <c r="I9" s="4">
        <v>16924.73</v>
      </c>
      <c r="J9" s="5">
        <f>((I9-'2024'!H9)/'2024'!H9)*100</f>
        <v>5.017138078</v>
      </c>
      <c r="K9" s="15">
        <f t="shared" si="1"/>
        <v>1.388241762</v>
      </c>
    </row>
    <row r="10" ht="14.25" customHeight="1">
      <c r="A10" s="3">
        <v>8.0</v>
      </c>
      <c r="B10" s="4" t="s">
        <v>10</v>
      </c>
      <c r="C10" s="4">
        <v>29160.54</v>
      </c>
      <c r="D10" s="5">
        <f>((C10-'2024'!C10)/'2024'!C10)*100</f>
        <v>5.891196269</v>
      </c>
      <c r="G10" s="3">
        <v>8.0</v>
      </c>
      <c r="H10" s="4" t="s">
        <v>10</v>
      </c>
      <c r="I10" s="4">
        <v>29160.54</v>
      </c>
      <c r="J10" s="5">
        <f>((I10-'2024'!H10)/'2024'!H10)*100</f>
        <v>5.890273418</v>
      </c>
      <c r="K10" s="15">
        <f t="shared" si="1"/>
        <v>2.391877413</v>
      </c>
    </row>
    <row r="11" ht="14.25" customHeight="1">
      <c r="A11" s="3">
        <v>9.0</v>
      </c>
      <c r="B11" s="4" t="s">
        <v>11</v>
      </c>
      <c r="C11" s="4">
        <v>28890.03</v>
      </c>
      <c r="D11" s="5">
        <f>((C11-'2024'!C11)/'2024'!C11)*100</f>
        <v>4.840474986</v>
      </c>
      <c r="G11" s="3">
        <v>9.0</v>
      </c>
      <c r="H11" s="4" t="s">
        <v>11</v>
      </c>
      <c r="I11" s="4">
        <v>28890.03</v>
      </c>
      <c r="J11" s="5">
        <f>((I11-'2024'!H11)/'2024'!H11)*100</f>
        <v>4.817652305</v>
      </c>
      <c r="K11" s="15">
        <f t="shared" si="1"/>
        <v>2.369688978</v>
      </c>
    </row>
    <row r="12" ht="14.25" customHeight="1">
      <c r="A12" s="3">
        <v>10.0</v>
      </c>
      <c r="B12" s="4" t="s">
        <v>12</v>
      </c>
      <c r="C12" s="4">
        <v>35131.44</v>
      </c>
      <c r="D12" s="5">
        <f>((C12-'2024'!C12)/'2024'!C12)*100</f>
        <v>4.654662706</v>
      </c>
      <c r="G12" s="3">
        <v>10.0</v>
      </c>
      <c r="H12" s="4" t="s">
        <v>12</v>
      </c>
      <c r="I12" s="4">
        <v>35131.44</v>
      </c>
      <c r="J12" s="5">
        <f>((I12-'2024'!H12)/'2024'!H12)*100</f>
        <v>4.617420573</v>
      </c>
      <c r="K12" s="15">
        <f t="shared" si="1"/>
        <v>2.881637234</v>
      </c>
    </row>
    <row r="13" ht="14.25" customHeight="1">
      <c r="A13" s="3">
        <v>11.0</v>
      </c>
      <c r="B13" s="4" t="s">
        <v>13</v>
      </c>
      <c r="C13" s="4">
        <v>33951.06</v>
      </c>
      <c r="D13" s="5">
        <f>((C13-'2024'!C13)/'2024'!C13)*100</f>
        <v>5.479316292</v>
      </c>
      <c r="G13" s="3">
        <v>11.0</v>
      </c>
      <c r="H13" s="4" t="s">
        <v>13</v>
      </c>
      <c r="I13" s="4">
        <v>33951.06</v>
      </c>
      <c r="J13" s="5">
        <f>((I13-'2024'!H13)/'2024'!H13)*100</f>
        <v>5.475875516</v>
      </c>
      <c r="K13" s="15">
        <f t="shared" si="1"/>
        <v>2.784817208</v>
      </c>
    </row>
    <row r="14" ht="14.25" customHeight="1">
      <c r="A14" s="3">
        <v>12.0</v>
      </c>
      <c r="B14" s="4" t="s">
        <v>14</v>
      </c>
      <c r="C14" s="4">
        <v>26141.91</v>
      </c>
      <c r="D14" s="5">
        <f>((C14-'2024'!C14)/'2024'!C14)*100</f>
        <v>5.714900385</v>
      </c>
      <c r="G14" s="3">
        <v>12.0</v>
      </c>
      <c r="H14" s="4" t="s">
        <v>14</v>
      </c>
      <c r="I14" s="4">
        <v>26141.91</v>
      </c>
      <c r="J14" s="5">
        <f>((I14-'2024'!H14)/'2024'!H14)*100</f>
        <v>5.670501894</v>
      </c>
      <c r="K14" s="15">
        <f t="shared" si="1"/>
        <v>2.144275932</v>
      </c>
    </row>
    <row r="15" ht="14.25" customHeight="1">
      <c r="A15" s="3">
        <v>13.0</v>
      </c>
      <c r="B15" s="4" t="s">
        <v>15</v>
      </c>
      <c r="C15" s="4">
        <v>33709.11</v>
      </c>
      <c r="D15" s="5">
        <f>((C15-'2024'!C15)/'2024'!C15)*100</f>
        <v>5.72720344</v>
      </c>
      <c r="G15" s="3">
        <v>13.0</v>
      </c>
      <c r="H15" s="4" t="s">
        <v>15</v>
      </c>
      <c r="I15" s="4">
        <v>33709.11</v>
      </c>
      <c r="J15" s="5">
        <f>((I15-'2024'!H15)/'2024'!H15)*100</f>
        <v>5.749060986</v>
      </c>
      <c r="K15" s="15">
        <f t="shared" si="1"/>
        <v>2.764971391</v>
      </c>
    </row>
    <row r="16" ht="14.25" customHeight="1">
      <c r="A16" s="3">
        <v>14.0</v>
      </c>
      <c r="B16" s="4" t="s">
        <v>16</v>
      </c>
      <c r="C16" s="4">
        <v>33921.43</v>
      </c>
      <c r="D16" s="5">
        <f>((C16-'2024'!C16)/'2024'!C16)*100</f>
        <v>5.72667192</v>
      </c>
      <c r="G16" s="3">
        <v>14.0</v>
      </c>
      <c r="H16" s="4" t="s">
        <v>16</v>
      </c>
      <c r="I16" s="4">
        <v>33921.43</v>
      </c>
      <c r="J16" s="5">
        <f>((I16-'2024'!H16)/'2024'!H16)*100</f>
        <v>5.70318165</v>
      </c>
      <c r="K16" s="15">
        <f t="shared" si="1"/>
        <v>2.782386823</v>
      </c>
    </row>
    <row r="17" ht="14.25" customHeight="1">
      <c r="A17" s="3">
        <v>15.0</v>
      </c>
      <c r="B17" s="4" t="s">
        <v>17</v>
      </c>
      <c r="C17" s="4">
        <v>24896.25</v>
      </c>
      <c r="D17" s="5">
        <f>((C17-'2024'!C17)/'2024'!C17)*100</f>
        <v>5.532561911</v>
      </c>
      <c r="G17" s="3">
        <v>15.0</v>
      </c>
      <c r="H17" s="4" t="s">
        <v>17</v>
      </c>
      <c r="I17" s="4">
        <v>24896.25</v>
      </c>
      <c r="J17" s="5">
        <f>((I17-'2024'!H17)/'2024'!H17)*100</f>
        <v>5.488204303</v>
      </c>
      <c r="K17" s="15">
        <f t="shared" si="1"/>
        <v>2.042101348</v>
      </c>
    </row>
    <row r="18" ht="14.25" customHeight="1">
      <c r="A18" s="3">
        <v>16.0</v>
      </c>
      <c r="B18" s="4" t="s">
        <v>18</v>
      </c>
      <c r="C18" s="4">
        <v>20834.42</v>
      </c>
      <c r="D18" s="5">
        <f>((C18-'2024'!C18)/'2024'!C18)*100</f>
        <v>5.351723245</v>
      </c>
      <c r="G18" s="3">
        <v>16.0</v>
      </c>
      <c r="H18" s="4" t="s">
        <v>18</v>
      </c>
      <c r="I18" s="4">
        <v>20834.42</v>
      </c>
      <c r="J18" s="5">
        <f>((I18-'2024'!H18)/'2024'!H18)*100</f>
        <v>5.338992692</v>
      </c>
      <c r="K18" s="15">
        <f t="shared" si="1"/>
        <v>1.708931955</v>
      </c>
    </row>
    <row r="19" ht="14.25" customHeight="1">
      <c r="A19" s="3">
        <v>17.0</v>
      </c>
      <c r="B19" s="4" t="s">
        <v>19</v>
      </c>
      <c r="C19" s="4">
        <v>17185.84</v>
      </c>
      <c r="D19" s="5">
        <f>((C19-'2024'!C19)/'2024'!C19)*100</f>
        <v>5.768257903</v>
      </c>
      <c r="G19" s="3">
        <v>17.0</v>
      </c>
      <c r="H19" s="4" t="s">
        <v>19</v>
      </c>
      <c r="I19" s="4">
        <v>17185.84</v>
      </c>
      <c r="J19" s="5">
        <f>((I19-'2024'!H19)/'2024'!H19)*100</f>
        <v>5.771903284</v>
      </c>
      <c r="K19" s="15">
        <f t="shared" si="1"/>
        <v>1.409659167</v>
      </c>
    </row>
    <row r="20" ht="14.25" customHeight="1">
      <c r="A20" s="3">
        <v>18.0</v>
      </c>
      <c r="B20" s="4" t="s">
        <v>20</v>
      </c>
      <c r="C20" s="4">
        <v>39038.28</v>
      </c>
      <c r="D20" s="5">
        <f>((C20-'2024'!C20)/'2024'!C20)*100</f>
        <v>6.13783192</v>
      </c>
      <c r="G20" s="3">
        <v>18.0</v>
      </c>
      <c r="H20" s="4" t="s">
        <v>20</v>
      </c>
      <c r="I20" s="4">
        <v>39038.28</v>
      </c>
      <c r="J20" s="5">
        <f>((I20-'2024'!H20)/'2024'!H20)*100</f>
        <v>6.117982082</v>
      </c>
      <c r="K20" s="15">
        <f t="shared" si="1"/>
        <v>3.202093658</v>
      </c>
    </row>
    <row r="21" ht="14.25" customHeight="1">
      <c r="A21" s="3">
        <v>19.0</v>
      </c>
      <c r="B21" s="4" t="s">
        <v>21</v>
      </c>
      <c r="C21" s="4">
        <v>75783.15</v>
      </c>
      <c r="D21" s="5">
        <f>((C21-'2024'!C21)/'2024'!C21)*100</f>
        <v>1.029665199</v>
      </c>
      <c r="G21" s="3">
        <v>19.0</v>
      </c>
      <c r="H21" s="4" t="s">
        <v>21</v>
      </c>
      <c r="I21" s="4">
        <v>75783.15</v>
      </c>
      <c r="J21" s="5">
        <f>((I21-'2024'!H21)/'2024'!H21)*100</f>
        <v>0.9835156393</v>
      </c>
      <c r="K21" s="15">
        <f t="shared" si="1"/>
        <v>6.216071609</v>
      </c>
    </row>
    <row r="22" ht="14.25" customHeight="1">
      <c r="A22" s="3">
        <v>20.0</v>
      </c>
      <c r="B22" s="4" t="s">
        <v>22</v>
      </c>
      <c r="C22" s="4">
        <v>26869.08</v>
      </c>
      <c r="D22" s="5">
        <f>((C22-'2024'!C22)/'2024'!C22)*100</f>
        <v>5.443082136</v>
      </c>
      <c r="G22" s="3">
        <v>20.0</v>
      </c>
      <c r="H22" s="4" t="s">
        <v>22</v>
      </c>
      <c r="I22" s="4">
        <v>26869.08</v>
      </c>
      <c r="J22" s="5">
        <f>((I22-'2024'!H22)/'2024'!H22)*100</f>
        <v>5.414868988</v>
      </c>
      <c r="K22" s="15">
        <f t="shared" si="1"/>
        <v>2.203921655</v>
      </c>
    </row>
    <row r="23" ht="14.25" customHeight="1">
      <c r="A23" s="3">
        <v>21.0</v>
      </c>
      <c r="B23" s="4" t="s">
        <v>23</v>
      </c>
      <c r="C23" s="4">
        <v>23439.71</v>
      </c>
      <c r="D23" s="5">
        <f>((C23-'2024'!C23)/'2024'!C23)*100</f>
        <v>7.057036895</v>
      </c>
      <c r="G23" s="3">
        <v>21.0</v>
      </c>
      <c r="H23" s="4" t="s">
        <v>23</v>
      </c>
      <c r="I23" s="4">
        <v>23439.71</v>
      </c>
      <c r="J23" s="5">
        <f>((I23-'2024'!H23)/'2024'!H23)*100</f>
        <v>6.991848617</v>
      </c>
      <c r="K23" s="15">
        <f t="shared" si="1"/>
        <v>1.922629448</v>
      </c>
    </row>
    <row r="24" ht="14.25" customHeight="1">
      <c r="A24" s="3">
        <v>22.0</v>
      </c>
      <c r="B24" s="4" t="s">
        <v>24</v>
      </c>
      <c r="C24" s="4">
        <v>43880.58</v>
      </c>
      <c r="D24" s="5">
        <f>((C24-'2024'!C24)/'2024'!C24)*100</f>
        <v>5.66148319</v>
      </c>
      <c r="G24" s="3">
        <v>22.0</v>
      </c>
      <c r="H24" s="4" t="s">
        <v>24</v>
      </c>
      <c r="I24" s="4">
        <v>43880.58</v>
      </c>
      <c r="J24" s="5">
        <f>((I24-'2024'!H24)/'2024'!H24)*100</f>
        <v>5.613189825</v>
      </c>
      <c r="K24" s="15">
        <f t="shared" si="1"/>
        <v>3.599280678</v>
      </c>
    </row>
    <row r="25" ht="14.25" customHeight="1">
      <c r="A25" s="3">
        <v>23.0</v>
      </c>
      <c r="B25" s="4" t="s">
        <v>25</v>
      </c>
      <c r="C25" s="4">
        <v>18863.34</v>
      </c>
      <c r="D25" s="5">
        <f>((C25-'2024'!C25)/'2024'!C25)*100</f>
        <v>5.643831627</v>
      </c>
      <c r="G25" s="3">
        <v>23.0</v>
      </c>
      <c r="H25" s="4" t="s">
        <v>25</v>
      </c>
      <c r="I25" s="4">
        <v>18863.34</v>
      </c>
      <c r="J25" s="5">
        <f>((I25-'2024'!H25)/'2024'!H25)*100</f>
        <v>5.661998607</v>
      </c>
      <c r="K25" s="15">
        <f t="shared" si="1"/>
        <v>1.547255191</v>
      </c>
    </row>
    <row r="26" ht="14.25" customHeight="1">
      <c r="A26" s="3">
        <v>24.0</v>
      </c>
      <c r="B26" s="4" t="s">
        <v>26</v>
      </c>
      <c r="C26" s="4">
        <v>40192.08</v>
      </c>
      <c r="D26" s="5">
        <f>((C26-'2024'!C26)/'2024'!C26)*100</f>
        <v>8.039014608</v>
      </c>
      <c r="G26" s="3">
        <v>24.0</v>
      </c>
      <c r="H26" s="4" t="s">
        <v>26</v>
      </c>
      <c r="I26" s="4">
        <v>40192.08</v>
      </c>
      <c r="J26" s="5">
        <f>((I26-'2024'!H26)/'2024'!H26)*100</f>
        <v>7.992393903</v>
      </c>
      <c r="K26" s="15">
        <f t="shared" si="1"/>
        <v>3.296733474</v>
      </c>
    </row>
    <row r="27" ht="14.25" customHeight="1">
      <c r="A27" s="3">
        <v>25.0</v>
      </c>
      <c r="B27" s="4" t="s">
        <v>27</v>
      </c>
      <c r="C27" s="4">
        <v>20159.94</v>
      </c>
      <c r="D27" s="5">
        <f>((C27-'2024'!C27)/'2024'!C27)*100</f>
        <v>7.846267256</v>
      </c>
      <c r="G27" s="3">
        <v>25.0</v>
      </c>
      <c r="H27" s="4" t="s">
        <v>27</v>
      </c>
      <c r="I27" s="4">
        <v>20159.94</v>
      </c>
      <c r="J27" s="5">
        <f>((I27-'2024'!H27)/'2024'!H27)*100</f>
        <v>7.79287025</v>
      </c>
      <c r="K27" s="15">
        <f t="shared" si="1"/>
        <v>1.6536081</v>
      </c>
    </row>
    <row r="28" ht="14.25" customHeight="1">
      <c r="A28" s="3">
        <v>26.0</v>
      </c>
      <c r="B28" s="4" t="s">
        <v>28</v>
      </c>
      <c r="C28" s="4">
        <v>20425.92</v>
      </c>
      <c r="D28" s="5">
        <f>((C28-'2024'!C28)/'2024'!C28)*100</f>
        <v>5.926756438</v>
      </c>
      <c r="G28" s="3">
        <v>26.0</v>
      </c>
      <c r="H28" s="4" t="s">
        <v>28</v>
      </c>
      <c r="I28" s="4">
        <v>20425.92</v>
      </c>
      <c r="J28" s="5">
        <f>((I28-'2024'!H28)/'2024'!H28)*100</f>
        <v>5.882169986</v>
      </c>
      <c r="K28" s="15">
        <f t="shared" si="1"/>
        <v>1.675424965</v>
      </c>
    </row>
    <row r="29" ht="14.25" customHeight="1">
      <c r="A29" s="3">
        <v>27.0</v>
      </c>
      <c r="B29" s="4" t="s">
        <v>29</v>
      </c>
      <c r="C29" s="4">
        <v>23052.08</v>
      </c>
      <c r="D29" s="5">
        <f>((C29-'2024'!C29)/'2024'!C29)*100</f>
        <v>5.850016025</v>
      </c>
      <c r="G29" s="3">
        <v>27.0</v>
      </c>
      <c r="H29" s="4" t="s">
        <v>29</v>
      </c>
      <c r="I29" s="4">
        <v>23052.08</v>
      </c>
      <c r="J29" s="5">
        <f>((I29-'2024'!H29)/'2024'!H29)*100</f>
        <v>5.799929045</v>
      </c>
      <c r="K29" s="15">
        <f t="shared" si="1"/>
        <v>1.890834308</v>
      </c>
    </row>
    <row r="30" ht="14.25" customHeight="1">
      <c r="A30" s="3">
        <v>28.0</v>
      </c>
      <c r="B30" s="4" t="s">
        <v>30</v>
      </c>
      <c r="C30" s="4">
        <v>31211.27</v>
      </c>
      <c r="D30" s="5">
        <f>((C30-'2024'!C30)/'2024'!C30)*100</f>
        <v>6.000771624</v>
      </c>
      <c r="G30" s="3">
        <v>28.0</v>
      </c>
      <c r="H30" s="4" t="s">
        <v>30</v>
      </c>
      <c r="I30" s="4">
        <v>31211.27</v>
      </c>
      <c r="J30" s="5">
        <f>((I30-'2024'!H30)/'2024'!H30)*100</f>
        <v>5.973490389</v>
      </c>
      <c r="K30" s="15">
        <f t="shared" si="1"/>
        <v>2.560087425</v>
      </c>
    </row>
    <row r="31" ht="14.25" customHeight="1">
      <c r="A31" s="3">
        <v>29.0</v>
      </c>
      <c r="B31" s="4" t="s">
        <v>31</v>
      </c>
      <c r="C31" s="4">
        <v>40655.22</v>
      </c>
      <c r="D31" s="5">
        <f>((C31-'2024'!C31)/'2024'!C31)*100</f>
        <v>5.469274117</v>
      </c>
      <c r="G31" s="3">
        <v>29.0</v>
      </c>
      <c r="H31" s="4" t="s">
        <v>31</v>
      </c>
      <c r="I31" s="4">
        <v>40655.22</v>
      </c>
      <c r="J31" s="5">
        <f>((I31-'2024'!H31)/'2024'!H31)*100</f>
        <v>5.42491287</v>
      </c>
      <c r="K31" s="15">
        <f t="shared" si="1"/>
        <v>3.334722281</v>
      </c>
    </row>
    <row r="32" ht="14.25" customHeight="1">
      <c r="A32" s="3">
        <v>30.0</v>
      </c>
      <c r="B32" s="4" t="s">
        <v>32</v>
      </c>
      <c r="C32" s="4">
        <v>8125.78</v>
      </c>
      <c r="D32" s="5">
        <f>((C32-'2024'!C32)/'2024'!C32)*100</f>
        <v>5.959088722</v>
      </c>
      <c r="G32" s="3">
        <v>30.0</v>
      </c>
      <c r="H32" s="4" t="s">
        <v>32</v>
      </c>
      <c r="I32" s="4">
        <v>8125.78</v>
      </c>
      <c r="J32" s="5">
        <f>((I32-'2024'!H32)/'2024'!H32)*100</f>
        <v>5.922624595</v>
      </c>
      <c r="K32" s="15">
        <f t="shared" si="1"/>
        <v>0.6665126794</v>
      </c>
    </row>
    <row r="33" ht="14.25" customHeight="1">
      <c r="A33" s="3">
        <v>31.0</v>
      </c>
      <c r="B33" s="4" t="s">
        <v>33</v>
      </c>
      <c r="C33" s="4">
        <v>45304.55</v>
      </c>
      <c r="D33" s="5">
        <f>((C33-'2024'!C33)/'2024'!C33)*100</f>
        <v>5.611609303</v>
      </c>
      <c r="G33" s="3">
        <v>31.0</v>
      </c>
      <c r="H33" s="4" t="s">
        <v>33</v>
      </c>
      <c r="I33" s="4">
        <v>45304.55</v>
      </c>
      <c r="J33" s="5">
        <f>((I33-'2024'!H33)/'2024'!H33)*100</f>
        <v>5.626604786</v>
      </c>
      <c r="K33" s="15">
        <f t="shared" si="1"/>
        <v>3.716081042</v>
      </c>
    </row>
    <row r="34" ht="14.25" customHeight="1">
      <c r="A34" s="3">
        <v>32.0</v>
      </c>
      <c r="B34" s="4" t="s">
        <v>34</v>
      </c>
      <c r="C34" s="4">
        <v>12198.74</v>
      </c>
      <c r="D34" s="5">
        <f>((C34-'2024'!C34)/'2024'!C34)*100</f>
        <v>6.029439246</v>
      </c>
      <c r="G34" s="3">
        <v>32.0</v>
      </c>
      <c r="H34" s="4" t="s">
        <v>34</v>
      </c>
      <c r="I34" s="4">
        <v>12198.74</v>
      </c>
      <c r="J34" s="5">
        <f>((I34-'2024'!H34)/'2024'!H34)*100</f>
        <v>5.984853026</v>
      </c>
      <c r="K34" s="15">
        <f t="shared" si="1"/>
        <v>1.000595005</v>
      </c>
    </row>
    <row r="35" ht="14.25" customHeight="1">
      <c r="A35" s="3">
        <v>33.0</v>
      </c>
      <c r="B35" s="4" t="s">
        <v>35</v>
      </c>
      <c r="C35" s="4">
        <v>182122.11</v>
      </c>
      <c r="D35" s="5">
        <f>((C35-'2024'!C35)/'2024'!C35)*100</f>
        <v>6.536729475</v>
      </c>
      <c r="G35" s="3">
        <v>33.0</v>
      </c>
      <c r="H35" s="4" t="s">
        <v>35</v>
      </c>
      <c r="I35" s="4">
        <v>182122.11</v>
      </c>
      <c r="J35" s="5">
        <f>((I35-'2024'!H35)/'2024'!H35)*100</f>
        <v>6.494971925</v>
      </c>
      <c r="K35" s="15">
        <f t="shared" si="1"/>
        <v>14.93846689</v>
      </c>
    </row>
    <row r="36" ht="14.25" customHeight="1">
      <c r="A36" s="3">
        <v>34.0</v>
      </c>
      <c r="B36" s="4" t="s">
        <v>36</v>
      </c>
      <c r="C36" s="4">
        <v>9455.38</v>
      </c>
      <c r="D36" s="5">
        <f>((C36-'2024'!C36)/'2024'!C36)*100</f>
        <v>5.897545023</v>
      </c>
      <c r="G36" s="3">
        <v>34.0</v>
      </c>
      <c r="H36" s="4" t="s">
        <v>36</v>
      </c>
      <c r="I36" s="4">
        <v>9455.38</v>
      </c>
      <c r="J36" s="5">
        <f>((I36-'2024'!H36)/'2024'!H36)*100</f>
        <v>5.879639117</v>
      </c>
      <c r="K36" s="15">
        <f t="shared" si="1"/>
        <v>0.7755723954</v>
      </c>
    </row>
    <row r="37" ht="14.25" customHeight="1">
      <c r="A37" s="3">
        <v>35.0</v>
      </c>
      <c r="B37" s="4" t="s">
        <v>37</v>
      </c>
      <c r="C37" s="4">
        <v>13897.41</v>
      </c>
      <c r="D37" s="5">
        <f>((C37-'2024'!C37)/'2024'!C37)*100</f>
        <v>5.927803227</v>
      </c>
      <c r="G37" s="3">
        <v>35.0</v>
      </c>
      <c r="H37" s="4" t="s">
        <v>37</v>
      </c>
      <c r="I37" s="4">
        <v>13897.41</v>
      </c>
      <c r="J37" s="5">
        <f>((I37-'2024'!H37)/'2024'!H37)*100</f>
        <v>5.883253766</v>
      </c>
      <c r="K37" s="15">
        <f t="shared" si="1"/>
        <v>1.139927487</v>
      </c>
    </row>
    <row r="38" ht="14.25" customHeight="1">
      <c r="A38" s="6" t="s">
        <v>38</v>
      </c>
      <c r="B38" s="7"/>
      <c r="C38" s="20">
        <v>1219148.6</v>
      </c>
      <c r="D38" s="8">
        <f>((C38-'2023'!C38)/'2023'!C38)*100</f>
        <v>10.66684861</v>
      </c>
      <c r="G38" s="6" t="s">
        <v>38</v>
      </c>
      <c r="H38" s="7"/>
      <c r="I38" s="20">
        <v>1219148.6</v>
      </c>
      <c r="J38" s="5">
        <f>((I38-'2024'!H38)/'2024'!H38)*100</f>
        <v>5.37163182</v>
      </c>
      <c r="K38" s="15">
        <f t="shared" si="1"/>
        <v>100</v>
      </c>
      <c r="M38" s="27">
        <v>1219148.6</v>
      </c>
    </row>
    <row r="39" ht="14.25" customHeight="1"/>
    <row r="40" ht="14.25" customHeight="1"/>
    <row r="41" ht="14.25" customHeight="1">
      <c r="G41" s="28" t="s">
        <v>43</v>
      </c>
      <c r="H41" s="29"/>
      <c r="I41" s="30"/>
    </row>
    <row r="42" ht="70.5" customHeight="1">
      <c r="F42" s="23" t="s">
        <v>70</v>
      </c>
      <c r="G42" s="31"/>
      <c r="H42" s="32"/>
      <c r="I42" s="17" t="s">
        <v>73</v>
      </c>
    </row>
    <row r="43" ht="14.25" customHeight="1">
      <c r="G43" s="33"/>
      <c r="H43" s="34"/>
      <c r="I43" s="35">
        <v>2025.0</v>
      </c>
    </row>
    <row r="44" ht="14.25" customHeight="1">
      <c r="G44" s="36" t="s">
        <v>45</v>
      </c>
      <c r="H44" s="30"/>
      <c r="I44" s="37">
        <v>0.75</v>
      </c>
    </row>
    <row r="45" ht="14.25" customHeight="1">
      <c r="G45" s="36" t="s">
        <v>46</v>
      </c>
      <c r="H45" s="30"/>
      <c r="I45" s="37">
        <v>0.14</v>
      </c>
    </row>
    <row r="46" ht="14.25" customHeight="1">
      <c r="G46" s="38" t="s">
        <v>47</v>
      </c>
      <c r="H46" s="39"/>
      <c r="I46" s="40">
        <v>28.07</v>
      </c>
    </row>
    <row r="47" ht="14.25" customHeight="1">
      <c r="G47" s="36" t="s">
        <v>48</v>
      </c>
      <c r="H47" s="30"/>
      <c r="I47" s="37">
        <v>0.09</v>
      </c>
    </row>
    <row r="48" ht="14.25" customHeight="1">
      <c r="G48" s="36" t="s">
        <v>49</v>
      </c>
      <c r="H48" s="30"/>
      <c r="I48" s="37">
        <v>0.07</v>
      </c>
    </row>
    <row r="49" ht="14.25" customHeight="1">
      <c r="G49" s="36" t="s">
        <v>74</v>
      </c>
      <c r="H49" s="30"/>
      <c r="I49" s="37">
        <v>27.13</v>
      </c>
    </row>
    <row r="50" ht="14.25" customHeight="1">
      <c r="G50" s="36" t="s">
        <v>51</v>
      </c>
      <c r="H50" s="30"/>
      <c r="I50" s="37">
        <v>12.88</v>
      </c>
    </row>
    <row r="51" ht="14.25" customHeight="1">
      <c r="G51" s="36" t="s">
        <v>52</v>
      </c>
      <c r="H51" s="30"/>
      <c r="I51" s="37">
        <v>4.6</v>
      </c>
    </row>
    <row r="52" ht="14.25" customHeight="1">
      <c r="G52" s="36" t="s">
        <v>53</v>
      </c>
      <c r="H52" s="30"/>
      <c r="I52" s="37">
        <v>3.26</v>
      </c>
    </row>
    <row r="53" ht="14.25" customHeight="1">
      <c r="G53" s="36" t="s">
        <v>54</v>
      </c>
      <c r="H53" s="30"/>
      <c r="I53" s="37">
        <v>8.91</v>
      </c>
    </row>
    <row r="54" ht="14.25" customHeight="1">
      <c r="G54" s="36" t="s">
        <v>55</v>
      </c>
      <c r="H54" s="30"/>
      <c r="I54" s="37">
        <v>3.74</v>
      </c>
    </row>
    <row r="55" ht="14.25" customHeight="1">
      <c r="G55" s="36" t="s">
        <v>75</v>
      </c>
      <c r="H55" s="30"/>
      <c r="I55" s="37">
        <v>2.58</v>
      </c>
    </row>
    <row r="56" ht="14.25" customHeight="1">
      <c r="G56" s="36" t="s">
        <v>57</v>
      </c>
      <c r="H56" s="30"/>
      <c r="I56" s="37">
        <v>0.74</v>
      </c>
    </row>
    <row r="57" ht="14.25" customHeight="1">
      <c r="G57" s="36" t="s">
        <v>58</v>
      </c>
      <c r="H57" s="30"/>
      <c r="I57" s="37">
        <v>2.53</v>
      </c>
    </row>
    <row r="58" ht="14.25" customHeight="1">
      <c r="G58" s="36" t="s">
        <v>76</v>
      </c>
      <c r="H58" s="30"/>
      <c r="I58" s="37">
        <v>2.62</v>
      </c>
    </row>
    <row r="59" ht="14.25" customHeight="1">
      <c r="G59" s="36" t="s">
        <v>60</v>
      </c>
      <c r="H59" s="30"/>
      <c r="I59" s="37">
        <v>0.82</v>
      </c>
    </row>
    <row r="60" ht="14.25" customHeight="1">
      <c r="G60" s="36" t="s">
        <v>77</v>
      </c>
      <c r="H60" s="30"/>
      <c r="I60" s="37">
        <v>1.06</v>
      </c>
    </row>
    <row r="61" ht="14.25" customHeight="1">
      <c r="G61" s="36" t="s">
        <v>78</v>
      </c>
      <c r="H61" s="30"/>
      <c r="I61" s="37">
        <v>100.0</v>
      </c>
    </row>
    <row r="62" ht="14.25" customHeight="1"/>
    <row r="63" ht="14.25" customHeight="1">
      <c r="F63" s="23" t="s">
        <v>79</v>
      </c>
      <c r="G63" s="23" t="s">
        <v>80</v>
      </c>
    </row>
    <row r="64" ht="14.25" customHeight="1"/>
    <row r="65" ht="14.25" customHeight="1"/>
    <row r="66" ht="14.25" customHeight="1">
      <c r="G66" s="23" t="s">
        <v>81</v>
      </c>
    </row>
    <row r="67" ht="14.25" customHeight="1"/>
    <row r="68" ht="14.25" customHeight="1">
      <c r="G68" s="41" t="s">
        <v>82</v>
      </c>
      <c r="H68" s="42" t="s">
        <v>83</v>
      </c>
      <c r="I68" s="10"/>
      <c r="J68" s="10"/>
      <c r="K68" s="10"/>
      <c r="L68" s="10"/>
      <c r="M68" s="7"/>
    </row>
    <row r="69" ht="14.25" customHeight="1">
      <c r="G69" s="43"/>
      <c r="H69" s="44">
        <v>2020.0</v>
      </c>
      <c r="I69" s="45">
        <f t="shared" ref="I69:M69" si="2">H69+1</f>
        <v>2021</v>
      </c>
      <c r="J69" s="45">
        <f t="shared" si="2"/>
        <v>2022</v>
      </c>
      <c r="K69" s="45">
        <f t="shared" si="2"/>
        <v>2023</v>
      </c>
      <c r="L69" s="45">
        <f t="shared" si="2"/>
        <v>2024</v>
      </c>
      <c r="M69" s="45">
        <f t="shared" si="2"/>
        <v>2025</v>
      </c>
    </row>
    <row r="70" ht="14.25" customHeight="1">
      <c r="G70" s="46" t="s">
        <v>84</v>
      </c>
      <c r="H70" s="46" t="s">
        <v>85</v>
      </c>
      <c r="I70" s="46" t="s">
        <v>86</v>
      </c>
      <c r="J70" s="46" t="s">
        <v>87</v>
      </c>
      <c r="K70" s="46" t="s">
        <v>88</v>
      </c>
      <c r="L70" s="46" t="s">
        <v>89</v>
      </c>
      <c r="M70" s="46" t="s">
        <v>90</v>
      </c>
    </row>
    <row r="71" ht="18.75" customHeight="1">
      <c r="G71" s="47" t="s">
        <v>91</v>
      </c>
      <c r="H71" s="48">
        <v>114189.0</v>
      </c>
      <c r="I71" s="48">
        <v>123037.0</v>
      </c>
      <c r="J71" s="49">
        <v>135328.0</v>
      </c>
      <c r="K71" s="48">
        <v>146839.0</v>
      </c>
      <c r="L71" s="48">
        <v>156607.0</v>
      </c>
      <c r="M71" s="50">
        <v>167236.0</v>
      </c>
    </row>
    <row r="72" ht="14.25" customHeight="1"/>
    <row r="73" ht="14.25" customHeight="1"/>
    <row r="74" ht="14.25" customHeight="1">
      <c r="F74" s="23" t="s">
        <v>79</v>
      </c>
      <c r="G74" s="23" t="s">
        <v>92</v>
      </c>
    </row>
    <row r="75" ht="14.25" customHeight="1"/>
    <row r="76" ht="14.25" customHeight="1"/>
    <row r="77" ht="14.25" customHeight="1">
      <c r="G77" s="23" t="s">
        <v>93</v>
      </c>
    </row>
    <row r="78" ht="14.25" customHeight="1"/>
    <row r="79" ht="14.25" customHeight="1">
      <c r="G79" s="41" t="s">
        <v>94</v>
      </c>
      <c r="H79" s="42" t="s">
        <v>83</v>
      </c>
      <c r="I79" s="10"/>
      <c r="J79" s="10"/>
      <c r="K79" s="10"/>
      <c r="L79" s="10"/>
      <c r="M79" s="7"/>
    </row>
    <row r="80" ht="14.25" customHeight="1">
      <c r="G80" s="43"/>
      <c r="H80" s="44">
        <v>2020.0</v>
      </c>
      <c r="I80" s="45">
        <f t="shared" ref="I80:M80" si="3">H80+1</f>
        <v>2021</v>
      </c>
      <c r="J80" s="45">
        <f t="shared" si="3"/>
        <v>2022</v>
      </c>
      <c r="K80" s="45">
        <f t="shared" si="3"/>
        <v>2023</v>
      </c>
      <c r="L80" s="45">
        <f t="shared" si="3"/>
        <v>2024</v>
      </c>
      <c r="M80" s="45">
        <f t="shared" si="3"/>
        <v>2025</v>
      </c>
    </row>
    <row r="81" ht="14.25" customHeight="1">
      <c r="G81" s="46" t="s">
        <v>84</v>
      </c>
      <c r="H81" s="46" t="s">
        <v>85</v>
      </c>
      <c r="I81" s="46" t="s">
        <v>86</v>
      </c>
      <c r="J81" s="46" t="s">
        <v>87</v>
      </c>
      <c r="K81" s="46" t="s">
        <v>88</v>
      </c>
      <c r="L81" s="46" t="s">
        <v>89</v>
      </c>
      <c r="M81" s="46" t="s">
        <v>90</v>
      </c>
    </row>
    <row r="82" ht="26.25" customHeight="1">
      <c r="A82" s="51"/>
      <c r="B82" s="51"/>
      <c r="C82" s="51"/>
      <c r="D82" s="51"/>
      <c r="E82" s="51"/>
      <c r="F82" s="51"/>
      <c r="G82" s="52" t="s">
        <v>91</v>
      </c>
      <c r="H82" s="53">
        <v>9.57</v>
      </c>
      <c r="I82" s="53">
        <v>9.54</v>
      </c>
      <c r="J82" s="53">
        <v>7.6</v>
      </c>
      <c r="K82" s="53">
        <v>5.99</v>
      </c>
      <c r="L82" s="53">
        <v>5.82</v>
      </c>
      <c r="M82" s="54">
        <v>5.65</v>
      </c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9">
    <mergeCell ref="G79:G80"/>
    <mergeCell ref="H79:M79"/>
    <mergeCell ref="A1:D1"/>
    <mergeCell ref="G1:J1"/>
    <mergeCell ref="A38:B38"/>
    <mergeCell ref="G38:H38"/>
    <mergeCell ref="G41:H43"/>
    <mergeCell ref="G68:G69"/>
    <mergeCell ref="H68:M68"/>
  </mergeCells>
  <conditionalFormatting sqref="I43:I60">
    <cfRule type="expression" dxfId="0" priority="1">
      <formula>max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2025-04-23T06:23:10Z</dcterms:created>
  <dc:creator>bayu ardiansyah</dc:creator>
</cp:coreProperties>
</file>