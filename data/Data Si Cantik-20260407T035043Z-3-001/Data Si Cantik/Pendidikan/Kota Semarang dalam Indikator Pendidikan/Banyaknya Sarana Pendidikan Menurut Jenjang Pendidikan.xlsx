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2022" sheetId="1" r:id="rId5"/>
    <sheet state="visible" name="2022 2023" sheetId="2" r:id="rId6"/>
    <sheet state="visible" name="2023 2024" sheetId="3" r:id="rId7"/>
    <sheet state="visible" name="2024 2025" sheetId="4" r:id="rId8"/>
  </sheets>
  <definedNames/>
  <calcPr/>
</workbook>
</file>

<file path=xl/sharedStrings.xml><?xml version="1.0" encoding="utf-8"?>
<sst xmlns="http://schemas.openxmlformats.org/spreadsheetml/2006/main" count="104" uniqueCount="27">
  <si>
    <t>Jumlah Sekolah, Guru, dan Murid di Sekolah Negeri dan Swasta Menurut Tahun Ajaran 2021/2022 di Kota Semarang</t>
  </si>
  <si>
    <t>Jenjang Pendidikan</t>
  </si>
  <si>
    <t>Sekolah</t>
  </si>
  <si>
    <t>Guru</t>
  </si>
  <si>
    <t>Murid</t>
  </si>
  <si>
    <t>TK</t>
  </si>
  <si>
    <t>Rasio Sekolah -Murid</t>
  </si>
  <si>
    <t>Rasio Guru -Murid</t>
  </si>
  <si>
    <t>RA</t>
  </si>
  <si>
    <t>TK/RA</t>
  </si>
  <si>
    <t>SD</t>
  </si>
  <si>
    <t>SD/MI</t>
  </si>
  <si>
    <t>MI</t>
  </si>
  <si>
    <t>SMP/MTS</t>
  </si>
  <si>
    <t>SMP</t>
  </si>
  <si>
    <t>SMA/SMK/MA</t>
  </si>
  <si>
    <t>MTs</t>
  </si>
  <si>
    <t>SMA</t>
  </si>
  <si>
    <t>SMK</t>
  </si>
  <si>
    <t>MA</t>
  </si>
  <si>
    <t xml:space="preserve">Sumber : </t>
  </si>
  <si>
    <t>1. Kementerian Pendidikan, Kebudayaan, Riset, dan Teknologi, Sistem Data Pokok Pendidikan, data semester ganjil</t>
  </si>
  <si>
    <t>2. Kementerian Agama, EMIS, data semester ganjil</t>
  </si>
  <si>
    <t>Jumlah Sekolah, Guru, dan Murid di Sekolah Negeri dan Swasta Menurut Tahun Ajaran 2022/2023 di Kota Semarang</t>
  </si>
  <si>
    <t>Jumlah Sekolah, Guru, dan Murid di Sekolah Negeri dan Swasta Menurut Tahun Ajaran 2023/2024 di Kota Semarang</t>
  </si>
  <si>
    <t>Jumlah Sekolah, Guru, dan Murid di Sekolah Negeri dan Swasta Menurut Tahun Ajaran 2024/2025 di Kota Semarang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</si>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</sst>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FFFFFF"/>
      <name val="Calibri"/>
    </font>
    <font>
      <sz val="12.0"/>
      <color rgb="FF111111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FFFFFF"/>
      <name val="Calibri"/>
    </font>
    <font>
      <sz val="12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980000"/>
        <bgColor rgb="FF9800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5" fillId="2" fontId="4" numFmtId="0" xfId="0" applyAlignment="1" applyBorder="1" applyFill="1" applyFont="1">
      <alignment horizontal="left" shrinkToFit="0" vertical="center" wrapText="1"/>
    </xf>
    <xf borderId="5" fillId="0" fontId="5" numFmtId="3" xfId="0" applyAlignment="1" applyBorder="1" applyFont="1" applyNumberFormat="1">
      <alignment horizontal="right" shrinkToFit="0" vertical="center" wrapText="1"/>
    </xf>
    <xf borderId="0" fillId="0" fontId="6" numFmtId="2" xfId="0" applyFont="1" applyNumberFormat="1"/>
    <xf borderId="0" fillId="0" fontId="7" numFmtId="2" xfId="0" applyAlignment="1" applyFont="1" applyNumberFormat="1">
      <alignment horizontal="center" readingOrder="0" vertical="center"/>
    </xf>
    <xf borderId="0" fillId="0" fontId="6" numFmtId="2" xfId="0" applyAlignment="1" applyFont="1" applyNumberFormat="1">
      <alignment readingOrder="0" vertical="center"/>
    </xf>
    <xf borderId="0" fillId="0" fontId="6" numFmtId="2" xfId="0" applyAlignment="1" applyFont="1" applyNumberFormat="1">
      <alignment horizontal="center" vertical="center"/>
    </xf>
    <xf borderId="5" fillId="3" fontId="8" numFmtId="0" xfId="0" applyAlignment="1" applyBorder="1" applyFill="1" applyFont="1">
      <alignment vertical="center"/>
    </xf>
    <xf borderId="5" fillId="0" fontId="9" numFmtId="3" xfId="0" applyAlignment="1" applyBorder="1" applyFont="1" applyNumberFormat="1">
      <alignment horizontal="right" vertical="center"/>
    </xf>
    <xf borderId="5" fillId="0" fontId="9" numFmtId="3" xfId="0" applyAlignment="1" applyBorder="1" applyFont="1" applyNumberFormat="1">
      <alignment vertical="center"/>
    </xf>
    <xf borderId="5" fillId="4" fontId="8" numFmtId="0" xfId="0" applyAlignment="1" applyBorder="1" applyFill="1" applyFont="1">
      <alignment vertical="center"/>
    </xf>
    <xf borderId="5" fillId="5" fontId="8" numFmtId="0" xfId="0" applyAlignment="1" applyBorder="1" applyFill="1" applyFont="1">
      <alignment vertical="center"/>
    </xf>
    <xf borderId="0" fillId="0" fontId="10" numFmtId="3" xfId="0" applyFont="1" applyNumberFormat="1"/>
    <xf borderId="6" fillId="0" fontId="11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11" numFmtId="0" xfId="0" applyAlignment="1" applyBorder="1" applyFont="1">
      <alignment horizontal="left" shrinkToFit="0" vertical="center" wrapText="1"/>
    </xf>
    <xf borderId="10" fillId="0" fontId="2" numFmtId="0" xfId="0" applyBorder="1" applyFont="1"/>
    <xf borderId="11" fillId="0" fontId="11" numFmtId="0" xfId="0" applyAlignment="1" applyBorder="1" applyFont="1">
      <alignment horizontal="left" vertical="center"/>
    </xf>
    <xf borderId="12" fillId="0" fontId="2" numFmtId="0" xfId="0" applyBorder="1" applyFont="1"/>
    <xf borderId="13" fillId="0" fontId="2" numFmtId="0" xfId="0" applyBorder="1" applyFont="1"/>
    <xf borderId="5" fillId="0" fontId="5" numFmtId="0" xfId="0" applyAlignment="1" applyBorder="1" applyFont="1">
      <alignment horizontal="left" shrinkToFit="0" vertical="center" wrapText="1"/>
    </xf>
    <xf borderId="5" fillId="0" fontId="10" numFmtId="0" xfId="0" applyAlignment="1" applyBorder="1" applyFont="1">
      <alignment vertical="center"/>
    </xf>
    <xf borderId="5" fillId="0" fontId="10" numFmtId="3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7" width="23.29"/>
    <col customWidth="1" min="8" max="8" width="29.71"/>
    <col customWidth="1" min="9" max="26" width="8.71"/>
  </cols>
  <sheetData>
    <row r="1" ht="43.5" customHeight="1">
      <c r="A1" s="1" t="s">
        <v>0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30.0" customHeight="1">
      <c r="A3" s="6" t="s">
        <v>5</v>
      </c>
      <c r="B3" s="7">
        <v>668.0</v>
      </c>
      <c r="C3" s="7">
        <v>2272.0</v>
      </c>
      <c r="D3" s="7">
        <v>28986.0</v>
      </c>
      <c r="F3" s="8"/>
      <c r="G3" s="9" t="s">
        <v>6</v>
      </c>
      <c r="H3" s="9" t="s">
        <v>7</v>
      </c>
    </row>
    <row r="4" ht="30.0" customHeight="1">
      <c r="A4" s="6" t="s">
        <v>8</v>
      </c>
      <c r="B4" s="7">
        <v>137.0</v>
      </c>
      <c r="C4" s="7">
        <v>693.0</v>
      </c>
      <c r="D4" s="7">
        <v>8774.0</v>
      </c>
      <c r="F4" s="10" t="s">
        <v>9</v>
      </c>
      <c r="G4" s="11">
        <f>(D3+D4)/(B3+B4)</f>
        <v>46.9068323</v>
      </c>
      <c r="H4" s="11">
        <f>(D3+D4)/(C3+C4)</f>
        <v>12.73524452</v>
      </c>
    </row>
    <row r="5" ht="30.0" customHeight="1">
      <c r="A5" s="12" t="s">
        <v>10</v>
      </c>
      <c r="B5" s="13">
        <v>506.0</v>
      </c>
      <c r="C5" s="13">
        <v>7140.0</v>
      </c>
      <c r="D5" s="13">
        <v>131398.0</v>
      </c>
      <c r="F5" s="10" t="s">
        <v>11</v>
      </c>
      <c r="G5" s="11">
        <f>(D5+D6)/(B5+B6)</f>
        <v>251.8444816</v>
      </c>
      <c r="H5" s="11">
        <f>(D5+D6)/(C5+C6)</f>
        <v>18.10132212</v>
      </c>
    </row>
    <row r="6" ht="30.0" customHeight="1">
      <c r="A6" s="12" t="s">
        <v>12</v>
      </c>
      <c r="B6" s="14">
        <v>92.0</v>
      </c>
      <c r="C6" s="14">
        <v>1180.0</v>
      </c>
      <c r="D6" s="14">
        <v>19205.0</v>
      </c>
      <c r="F6" s="10" t="s">
        <v>13</v>
      </c>
      <c r="G6" s="11">
        <f>(D7+D8)/(B7+B8)</f>
        <v>316.1508621</v>
      </c>
      <c r="H6" s="11">
        <f>(D7+D8)/(C7+C8)</f>
        <v>15.85881081</v>
      </c>
    </row>
    <row r="7" ht="30.0" customHeight="1">
      <c r="A7" s="15" t="s">
        <v>14</v>
      </c>
      <c r="B7" s="14">
        <v>191.0</v>
      </c>
      <c r="C7" s="14">
        <v>3802.0</v>
      </c>
      <c r="D7" s="14">
        <v>63809.0</v>
      </c>
      <c r="F7" s="10" t="s">
        <v>15</v>
      </c>
      <c r="G7" s="11">
        <f>(D9+D10+D11)/(B9+B10+B11)</f>
        <v>391.46875</v>
      </c>
      <c r="H7" s="11">
        <f>(D9+D10+D11)/(C9+C10+C11)</f>
        <v>14.75210991</v>
      </c>
    </row>
    <row r="8" ht="30.0" customHeight="1">
      <c r="A8" s="15" t="s">
        <v>16</v>
      </c>
      <c r="B8" s="14">
        <v>41.0</v>
      </c>
      <c r="C8" s="14">
        <v>823.0</v>
      </c>
      <c r="D8" s="14">
        <v>9538.0</v>
      </c>
      <c r="F8" s="8"/>
      <c r="G8" s="8"/>
    </row>
    <row r="9" ht="30.0" customHeight="1">
      <c r="A9" s="16" t="s">
        <v>17</v>
      </c>
      <c r="B9" s="14">
        <v>74.0</v>
      </c>
      <c r="C9" s="14">
        <v>1889.0</v>
      </c>
      <c r="D9" s="14">
        <v>30402.0</v>
      </c>
      <c r="F9" s="8"/>
      <c r="G9" s="8"/>
    </row>
    <row r="10" ht="30.0" customHeight="1">
      <c r="A10" s="16" t="s">
        <v>18</v>
      </c>
      <c r="B10" s="14">
        <v>86.0</v>
      </c>
      <c r="C10" s="14">
        <v>2464.0</v>
      </c>
      <c r="D10" s="14">
        <v>38239.0</v>
      </c>
      <c r="F10" s="8"/>
      <c r="G10" s="8"/>
    </row>
    <row r="11" ht="30.0" customHeight="1">
      <c r="A11" s="16" t="s">
        <v>19</v>
      </c>
      <c r="B11" s="14">
        <v>32.0</v>
      </c>
      <c r="C11" s="14">
        <v>742.0</v>
      </c>
      <c r="D11" s="14">
        <v>6521.0</v>
      </c>
      <c r="F11" s="8"/>
      <c r="G11" s="8"/>
    </row>
    <row r="12" ht="30.0" customHeight="1">
      <c r="B12" s="17"/>
      <c r="C12" s="17"/>
      <c r="D12" s="17"/>
    </row>
    <row r="13" ht="30.0" customHeight="1">
      <c r="A13" s="18" t="s">
        <v>20</v>
      </c>
      <c r="B13" s="19"/>
      <c r="C13" s="19"/>
      <c r="D13" s="20"/>
    </row>
    <row r="14" ht="29.25" customHeight="1">
      <c r="A14" s="21" t="s">
        <v>21</v>
      </c>
      <c r="D14" s="22"/>
    </row>
    <row r="15" ht="24.0" customHeight="1">
      <c r="A15" s="23" t="s">
        <v>22</v>
      </c>
      <c r="B15" s="24"/>
      <c r="C15" s="24"/>
      <c r="D15" s="25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13:D13"/>
    <mergeCell ref="A14:D14"/>
    <mergeCell ref="A15:D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26" width="8.71"/>
  </cols>
  <sheetData>
    <row r="1" ht="43.5" customHeight="1">
      <c r="A1" s="1" t="s">
        <v>23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29.25" customHeight="1">
      <c r="A3" s="26" t="s">
        <v>5</v>
      </c>
      <c r="B3" s="7">
        <v>668.0</v>
      </c>
      <c r="C3" s="7">
        <v>2473.0</v>
      </c>
      <c r="D3" s="7">
        <v>32620.0</v>
      </c>
      <c r="F3" s="8"/>
      <c r="G3" s="9" t="s">
        <v>6</v>
      </c>
      <c r="H3" s="9" t="s">
        <v>7</v>
      </c>
    </row>
    <row r="4" ht="30.0" customHeight="1">
      <c r="A4" s="26" t="s">
        <v>8</v>
      </c>
      <c r="B4" s="7">
        <v>140.0</v>
      </c>
      <c r="C4" s="7">
        <v>636.0</v>
      </c>
      <c r="D4" s="7">
        <v>10051.0</v>
      </c>
      <c r="F4" s="10" t="s">
        <v>9</v>
      </c>
      <c r="G4" s="11">
        <f>(D3+D4)/(B3+B4)</f>
        <v>52.81064356</v>
      </c>
      <c r="H4" s="11">
        <f>(D3+D4)/(C3+C4)</f>
        <v>13.72499196</v>
      </c>
    </row>
    <row r="5" ht="30.0" customHeight="1">
      <c r="A5" s="27" t="s">
        <v>10</v>
      </c>
      <c r="B5" s="7">
        <v>507.0</v>
      </c>
      <c r="C5" s="7">
        <v>7102.0</v>
      </c>
      <c r="D5" s="7">
        <v>128239.0</v>
      </c>
      <c r="F5" s="10" t="s">
        <v>11</v>
      </c>
      <c r="G5" s="11">
        <f>(D5+D6)/(B5+B6)</f>
        <v>246.2046589</v>
      </c>
      <c r="H5" s="11">
        <f>(D5+D6)/(C5+C6)</f>
        <v>17.95958247</v>
      </c>
    </row>
    <row r="6" ht="30.0" customHeight="1">
      <c r="A6" s="27" t="s">
        <v>12</v>
      </c>
      <c r="B6" s="28">
        <v>94.0</v>
      </c>
      <c r="C6" s="28">
        <v>1137.0</v>
      </c>
      <c r="D6" s="28">
        <v>19730.0</v>
      </c>
      <c r="F6" s="10" t="s">
        <v>13</v>
      </c>
      <c r="G6" s="11">
        <f>(D7+D8)/(B7+B8)</f>
        <v>307.2978723</v>
      </c>
      <c r="H6" s="11">
        <f>(D7+D8)/(C7+C8)</f>
        <v>15.85400659</v>
      </c>
    </row>
    <row r="7" ht="30.0" customHeight="1">
      <c r="A7" s="27" t="s">
        <v>14</v>
      </c>
      <c r="B7" s="28">
        <v>192.0</v>
      </c>
      <c r="C7" s="28">
        <v>3757.0</v>
      </c>
      <c r="D7" s="28">
        <v>62716.0</v>
      </c>
      <c r="F7" s="10" t="s">
        <v>15</v>
      </c>
      <c r="G7" s="11">
        <f>(D9+D10+D11)/(B9+B10+B11)</f>
        <v>383.203125</v>
      </c>
      <c r="H7" s="11">
        <f>(D9+D10+D11)/(C9+C10+C11)</f>
        <v>14.83366935</v>
      </c>
    </row>
    <row r="8" ht="30.0" customHeight="1">
      <c r="A8" s="27" t="s">
        <v>16</v>
      </c>
      <c r="B8" s="28">
        <v>43.0</v>
      </c>
      <c r="C8" s="28">
        <v>798.0</v>
      </c>
      <c r="D8" s="28">
        <v>9499.0</v>
      </c>
    </row>
    <row r="9" ht="30.0" customHeight="1">
      <c r="A9" s="27" t="s">
        <v>17</v>
      </c>
      <c r="B9" s="28">
        <v>73.0</v>
      </c>
      <c r="C9" s="28">
        <v>1919.0</v>
      </c>
      <c r="D9" s="28">
        <v>30552.0</v>
      </c>
    </row>
    <row r="10" ht="30.0" customHeight="1">
      <c r="A10" s="27" t="s">
        <v>18</v>
      </c>
      <c r="B10" s="28">
        <v>86.0</v>
      </c>
      <c r="C10" s="28">
        <v>2379.0</v>
      </c>
      <c r="D10" s="28">
        <v>36343.0</v>
      </c>
    </row>
    <row r="11" ht="30.0" customHeight="1">
      <c r="A11" s="27" t="s">
        <v>19</v>
      </c>
      <c r="B11" s="28">
        <v>33.0</v>
      </c>
      <c r="C11" s="28">
        <v>662.0</v>
      </c>
      <c r="D11" s="28">
        <v>6680.0</v>
      </c>
    </row>
    <row r="12" ht="30.0" customHeight="1"/>
    <row r="13" ht="30.0" customHeight="1">
      <c r="A13" s="18" t="s">
        <v>20</v>
      </c>
      <c r="B13" s="19"/>
      <c r="C13" s="19"/>
      <c r="D13" s="20"/>
    </row>
    <row r="14" ht="30.0" customHeight="1">
      <c r="A14" s="21" t="s">
        <v>21</v>
      </c>
      <c r="D14" s="22"/>
    </row>
    <row r="15" ht="30.0" customHeight="1">
      <c r="A15" s="23" t="s">
        <v>22</v>
      </c>
      <c r="B15" s="24"/>
      <c r="C15" s="24"/>
      <c r="D15" s="25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13:D13"/>
    <mergeCell ref="A14:D14"/>
    <mergeCell ref="A15:D1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7" width="13.86"/>
    <col customWidth="1" min="8" max="8" width="16.57"/>
    <col customWidth="1" min="9" max="26" width="8.71"/>
  </cols>
  <sheetData>
    <row r="1" ht="43.5" customHeight="1">
      <c r="A1" s="1" t="s">
        <v>24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30.0" customHeight="1">
      <c r="A3" s="26" t="s">
        <v>5</v>
      </c>
      <c r="B3" s="7">
        <v>683.0</v>
      </c>
      <c r="C3" s="7">
        <v>2515.0</v>
      </c>
      <c r="D3" s="7">
        <v>34757.0</v>
      </c>
      <c r="F3" s="8"/>
      <c r="G3" s="9" t="s">
        <v>6</v>
      </c>
      <c r="H3" s="9" t="s">
        <v>7</v>
      </c>
    </row>
    <row r="4" ht="30.0" customHeight="1">
      <c r="A4" s="26" t="s">
        <v>8</v>
      </c>
      <c r="B4" s="7">
        <v>141.0</v>
      </c>
      <c r="C4" s="7">
        <v>654.0</v>
      </c>
      <c r="D4" s="7">
        <v>10425.0</v>
      </c>
      <c r="F4" s="10" t="s">
        <v>9</v>
      </c>
      <c r="G4" s="11">
        <f>(D3+D4)/(B3+B4)</f>
        <v>54.83252427</v>
      </c>
      <c r="H4" s="11">
        <f>(D3+D4)/(C3+C4)</f>
        <v>14.25749448</v>
      </c>
    </row>
    <row r="5" ht="30.0" customHeight="1">
      <c r="A5" s="27" t="s">
        <v>10</v>
      </c>
      <c r="B5" s="7">
        <v>509.0</v>
      </c>
      <c r="C5" s="7">
        <v>7076.0</v>
      </c>
      <c r="D5" s="7">
        <v>125975.0</v>
      </c>
      <c r="F5" s="10" t="s">
        <v>11</v>
      </c>
      <c r="G5" s="11">
        <f>(D5+D6)/(B5+B6)</f>
        <v>241.6766169</v>
      </c>
      <c r="H5" s="11">
        <f>(D5+D6)/(C5+C6)</f>
        <v>17.68150934</v>
      </c>
    </row>
    <row r="6" ht="30.0" customHeight="1">
      <c r="A6" s="27" t="s">
        <v>12</v>
      </c>
      <c r="B6" s="28">
        <v>94.0</v>
      </c>
      <c r="C6" s="28">
        <v>1166.0</v>
      </c>
      <c r="D6" s="28">
        <v>19756.0</v>
      </c>
      <c r="F6" s="10" t="s">
        <v>13</v>
      </c>
      <c r="G6" s="11">
        <f>(D7+D8)/(B7+B8)</f>
        <v>299.7561983</v>
      </c>
      <c r="H6" s="11">
        <f>(D7+D8)/(C7+C8)</f>
        <v>15.82482548</v>
      </c>
    </row>
    <row r="7" ht="30.0" customHeight="1">
      <c r="A7" s="27" t="s">
        <v>14</v>
      </c>
      <c r="B7" s="28">
        <v>194.0</v>
      </c>
      <c r="C7" s="28">
        <v>3757.0</v>
      </c>
      <c r="D7" s="28">
        <v>63248.0</v>
      </c>
      <c r="F7" s="10" t="s">
        <v>15</v>
      </c>
      <c r="G7" s="11">
        <f>(D9+D10+D11)/(B9+B10+B11)</f>
        <v>396.5614973</v>
      </c>
      <c r="H7" s="11">
        <f>(D9+D10+D11)/(C9+C10+C11)</f>
        <v>15.29641089</v>
      </c>
    </row>
    <row r="8" ht="30.0" customHeight="1">
      <c r="A8" s="27" t="s">
        <v>16</v>
      </c>
      <c r="B8" s="28">
        <v>48.0</v>
      </c>
      <c r="C8" s="28">
        <v>827.0</v>
      </c>
      <c r="D8" s="28">
        <v>9293.0</v>
      </c>
    </row>
    <row r="9" ht="30.0" customHeight="1">
      <c r="A9" s="27" t="s">
        <v>17</v>
      </c>
      <c r="B9" s="28">
        <v>70.0</v>
      </c>
      <c r="C9" s="28">
        <v>1874.0</v>
      </c>
      <c r="D9" s="28">
        <v>30935.0</v>
      </c>
    </row>
    <row r="10" ht="30.0" customHeight="1">
      <c r="A10" s="27" t="s">
        <v>18</v>
      </c>
      <c r="B10" s="28">
        <v>83.0</v>
      </c>
      <c r="C10" s="28">
        <v>2298.0</v>
      </c>
      <c r="D10" s="28">
        <v>36517.0</v>
      </c>
    </row>
    <row r="11" ht="30.0" customHeight="1">
      <c r="A11" s="27" t="s">
        <v>19</v>
      </c>
      <c r="B11" s="28">
        <v>34.0</v>
      </c>
      <c r="C11" s="28">
        <v>676.0</v>
      </c>
      <c r="D11" s="28">
        <v>6705.0</v>
      </c>
    </row>
    <row r="12" ht="30.0" customHeight="1"/>
    <row r="13" ht="30.0" customHeight="1">
      <c r="A13" s="18" t="s">
        <v>20</v>
      </c>
      <c r="B13" s="19"/>
      <c r="C13" s="19"/>
      <c r="D13" s="20"/>
    </row>
    <row r="14" ht="30.0" customHeight="1">
      <c r="A14" s="21" t="s">
        <v>21</v>
      </c>
      <c r="D14" s="22"/>
    </row>
    <row r="15" ht="30.0" customHeight="1">
      <c r="A15" s="23" t="s">
        <v>22</v>
      </c>
      <c r="B15" s="24"/>
      <c r="C15" s="24"/>
      <c r="D15" s="25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13:D13"/>
    <mergeCell ref="A14:D14"/>
    <mergeCell ref="A15:D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86"/>
    <col customWidth="1" min="3" max="4" width="18.71"/>
    <col customWidth="1" min="5" max="5" width="14.71"/>
    <col customWidth="1" min="6" max="6" width="14.57"/>
    <col customWidth="1" min="7" max="7" width="14.29"/>
    <col customWidth="1" min="8" max="26" width="8.71"/>
  </cols>
  <sheetData>
    <row r="1" ht="43.5" customHeight="1">
      <c r="A1" s="1" t="s">
        <v>25</v>
      </c>
      <c r="B1" s="2"/>
      <c r="C1" s="2"/>
      <c r="D1" s="3"/>
      <c r="E1" s="4"/>
      <c r="F1" s="4"/>
    </row>
    <row r="2" ht="34.5" customHeight="1">
      <c r="A2" s="5" t="s">
        <v>1</v>
      </c>
      <c r="B2" s="5" t="s">
        <v>2</v>
      </c>
      <c r="C2" s="5" t="s">
        <v>3</v>
      </c>
      <c r="D2" s="5" t="s">
        <v>4</v>
      </c>
      <c r="E2" s="4"/>
      <c r="F2" s="4"/>
    </row>
    <row r="3" ht="30.0" customHeight="1">
      <c r="A3" s="26" t="s">
        <v>5</v>
      </c>
      <c r="B3" s="7">
        <v>692.0</v>
      </c>
      <c r="C3" s="7">
        <v>2561.0</v>
      </c>
      <c r="D3" s="7">
        <v>34315.0</v>
      </c>
      <c r="F3" s="8"/>
      <c r="G3" s="9" t="s">
        <v>6</v>
      </c>
      <c r="H3" s="9" t="s">
        <v>7</v>
      </c>
    </row>
    <row r="4" ht="30.0" customHeight="1">
      <c r="A4" s="26" t="s">
        <v>8</v>
      </c>
      <c r="B4" s="7" t="s">
        <v>26</v>
      </c>
      <c r="C4" s="7" t="s">
        <v>26</v>
      </c>
      <c r="D4" s="7" t="s">
        <v>26</v>
      </c>
      <c r="F4" s="10" t="s">
        <v>9</v>
      </c>
      <c r="G4" s="11">
        <f>D3/B3</f>
        <v>49.58815029</v>
      </c>
      <c r="H4" s="11">
        <f>D3/C3</f>
        <v>13.39906287</v>
      </c>
    </row>
    <row r="5" ht="30.0" customHeight="1">
      <c r="A5" s="27" t="s">
        <v>10</v>
      </c>
      <c r="B5" s="7">
        <v>510.0</v>
      </c>
      <c r="C5" s="7">
        <v>7083.0</v>
      </c>
      <c r="D5" s="7">
        <v>125715.0</v>
      </c>
      <c r="F5" s="10" t="s">
        <v>11</v>
      </c>
      <c r="G5" s="11">
        <f>D5/B5</f>
        <v>246.5</v>
      </c>
      <c r="H5" s="11">
        <f>D5/C5</f>
        <v>17.74883524</v>
      </c>
    </row>
    <row r="6" ht="30.0" customHeight="1">
      <c r="A6" s="27" t="s">
        <v>12</v>
      </c>
      <c r="B6" s="7" t="s">
        <v>26</v>
      </c>
      <c r="C6" s="7" t="s">
        <v>26</v>
      </c>
      <c r="D6" s="7" t="s">
        <v>26</v>
      </c>
      <c r="F6" s="10" t="s">
        <v>13</v>
      </c>
      <c r="G6" s="11">
        <f>D7/B7</f>
        <v>330.7823834</v>
      </c>
      <c r="H6" s="11">
        <f>D7/C7</f>
        <v>16.56486767</v>
      </c>
    </row>
    <row r="7" ht="30.0" customHeight="1">
      <c r="A7" s="27" t="s">
        <v>14</v>
      </c>
      <c r="B7" s="28">
        <v>193.0</v>
      </c>
      <c r="C7" s="28">
        <v>3854.0</v>
      </c>
      <c r="D7" s="28">
        <v>63841.0</v>
      </c>
      <c r="F7" s="10" t="s">
        <v>15</v>
      </c>
      <c r="G7" s="11">
        <f>(D9+D10)/(B9+B10)</f>
        <v>436.4</v>
      </c>
      <c r="H7" s="11">
        <f>(D9+D10)/(C9+C10)</f>
        <v>16.65648855</v>
      </c>
    </row>
    <row r="8" ht="30.0" customHeight="1">
      <c r="A8" s="27" t="s">
        <v>16</v>
      </c>
      <c r="B8" s="7" t="s">
        <v>26</v>
      </c>
      <c r="C8" s="7" t="s">
        <v>26</v>
      </c>
      <c r="D8" s="7" t="s">
        <v>26</v>
      </c>
    </row>
    <row r="9" ht="30.0" customHeight="1">
      <c r="A9" s="27" t="s">
        <v>17</v>
      </c>
      <c r="B9" s="28">
        <v>72.0</v>
      </c>
      <c r="C9" s="28">
        <v>1841.0</v>
      </c>
      <c r="D9" s="28">
        <v>31289.0</v>
      </c>
    </row>
    <row r="10" ht="30.0" customHeight="1">
      <c r="A10" s="27" t="s">
        <v>18</v>
      </c>
      <c r="B10" s="28">
        <v>83.0</v>
      </c>
      <c r="C10" s="28">
        <v>2220.0</v>
      </c>
      <c r="D10" s="28">
        <v>36353.0</v>
      </c>
    </row>
    <row r="11" ht="30.0" customHeight="1">
      <c r="A11" s="27" t="s">
        <v>19</v>
      </c>
      <c r="B11" s="7" t="s">
        <v>26</v>
      </c>
      <c r="C11" s="7" t="s">
        <v>26</v>
      </c>
      <c r="D11" s="7" t="s">
        <v>26</v>
      </c>
    </row>
    <row r="12" ht="30.0" customHeight="1"/>
    <row r="13" ht="30.0" customHeight="1">
      <c r="A13" s="18" t="s">
        <v>20</v>
      </c>
      <c r="B13" s="19"/>
      <c r="C13" s="19"/>
      <c r="D13" s="20"/>
    </row>
    <row r="14" ht="30.0" customHeight="1">
      <c r="A14" s="21" t="s">
        <v>21</v>
      </c>
      <c r="D14" s="22"/>
    </row>
    <row r="15" ht="30.0" customHeight="1">
      <c r="A15" s="23" t="s">
        <v>22</v>
      </c>
      <c r="B15" s="24"/>
      <c r="C15" s="24"/>
      <c r="D15" s="25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A13:D13"/>
    <mergeCell ref="A14:D14"/>
    <mergeCell ref="A15:D15"/>
  </mergeCells>
  <printOptions/>
  <pageMargins bottom="0.75" footer="0.0" header="0.0" left="0.7" right="0.7" top="0.75"/>
  <pageSetup orientation="landscape"/>
  <drawing r:id="rId1"/>
</worksheet>
</file>