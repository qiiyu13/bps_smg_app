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2021" sheetId="2" r:id="rId5"/>
    <sheet state="visible" name="2022" sheetId="3" r:id="rId6"/>
    <sheet state="visible" name="2023" sheetId="4" r:id="rId7"/>
    <sheet state="visible" name="2024" sheetId="5" r:id="rId8"/>
    <sheet state="visible" name="2025" sheetId="6" r:id="rId9"/>
  </sheets>
  <definedNames/>
  <calcPr/>
  <extLst>
    <ext uri="GoogleSheetsCustomDataVersion2">
      <go:sheetsCustomData xmlns:go="http://customooxmlschemas.google.com/" r:id="rId10" roundtripDataChecksum="jRCISVbzBdxV5MLAYMQp1YZcvFO5vpIOtnzk8iXM9Tc="/>
    </ext>
  </extLst>
</workbook>
</file>

<file path=xl/sharedStrings.xml><?xml version="1.0" encoding="utf-8"?>
<sst xmlns="http://schemas.openxmlformats.org/spreadsheetml/2006/main" count="203" uniqueCount="43">
  <si>
    <t>Penduduk Kota Semarang Menurut Kelompok Umur
(Hasil Proyeksi Penduduk)</t>
  </si>
  <si>
    <t>Kelompok Umur</t>
  </si>
  <si>
    <t>Laki-laki</t>
  </si>
  <si>
    <t>Perempuan</t>
  </si>
  <si>
    <t>Lk + Pr</t>
  </si>
  <si>
    <t>0-4</t>
  </si>
  <si>
    <t>5-9</t>
  </si>
  <si>
    <t>10-14</t>
  </si>
  <si>
    <t>15-19</t>
  </si>
  <si>
    <t>Angka Dependency Ratio Penduduk Kota Semarang</t>
  </si>
  <si>
    <t>20-24</t>
  </si>
  <si>
    <t>25-29</t>
  </si>
  <si>
    <t>30-34</t>
  </si>
  <si>
    <t>35-39</t>
  </si>
  <si>
    <t>Angka Dependency Ratio</t>
  </si>
  <si>
    <t>40-44</t>
  </si>
  <si>
    <t>45-49</t>
  </si>
  <si>
    <t>50-54</t>
  </si>
  <si>
    <t>55-59</t>
  </si>
  <si>
    <t>60-64</t>
  </si>
  <si>
    <t>65-69</t>
  </si>
  <si>
    <t>70-74</t>
  </si>
  <si>
    <t>75 +</t>
  </si>
  <si>
    <t>Kota Semarang</t>
  </si>
  <si>
    <t>Sumber: Hasil Perapihan Umur dari Data Administratif dan SP2020 (September)</t>
  </si>
  <si>
    <t>Distribusi Umur Penduduk</t>
  </si>
  <si>
    <t>Total</t>
  </si>
  <si>
    <t>persentase</t>
  </si>
  <si>
    <t>Usia Muda</t>
  </si>
  <si>
    <t>Usia Produktif</t>
  </si>
  <si>
    <t>Usia TUa</t>
  </si>
  <si>
    <t>Keterangan</t>
  </si>
  <si>
    <t>Usia Muda (0-14 Thn)</t>
  </si>
  <si>
    <t>Usia Produktif (15-64 Thn)</t>
  </si>
  <si>
    <t>Usia Tua (65-75+)</t>
  </si>
  <si>
    <t>Sumber: Badan Pusat Statistik (BPS)</t>
  </si>
  <si>
    <t>Note:</t>
  </si>
  <si>
    <t>1. Data dari web bps dan buku dalam angka berbeda satuan, sehingga hasil penjumlahan berbeda</t>
  </si>
  <si>
    <t>2. Hasil pembulatan excel berbeda dengan hasil pembulatan buku dalam angka</t>
  </si>
  <si>
    <t>3. Kelompok umur di web bps (hanya sampai 65+) dengan di buku dalam angka berbeda (75+)</t>
  </si>
  <si>
    <t>Sumber: Badan Pusat Statistik, Proyeksi Penduduk 2020-2050 hasil Sensus Penduduk 2020</t>
  </si>
  <si>
    <t>lk+pr</t>
  </si>
  <si>
    <t>Presentase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</si>
</sst>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sz val="8.0"/>
      <color theme="1"/>
      <name val="Calibri"/>
    </font>
    <font>
      <b/>
      <color rgb="FF0000FF"/>
      <name val="Calibri"/>
      <scheme val="minor"/>
    </font>
    <font>
      <color theme="1"/>
      <name val="Calibri"/>
      <scheme val="minor"/>
    </font>
    <font>
      <b/>
      <color theme="1"/>
      <name val="Calibri"/>
      <scheme val="minor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1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left" vertical="center"/>
    </xf>
    <xf borderId="4" fillId="2" fontId="3" numFmtId="3" xfId="0" applyAlignment="1" applyBorder="1" applyFont="1" applyNumberFormat="1">
      <alignment horizontal="right" vertical="center"/>
    </xf>
    <xf quotePrefix="1" borderId="4" fillId="2" fontId="3" numFmtId="16" xfId="0" applyAlignment="1" applyBorder="1" applyFont="1" applyNumberFormat="1">
      <alignment horizontal="left" vertical="center"/>
    </xf>
    <xf quotePrefix="1" borderId="4" fillId="2" fontId="3" numFmtId="0" xfId="0" applyAlignment="1" applyBorder="1" applyFont="1">
      <alignment horizontal="left" vertical="center"/>
    </xf>
    <xf borderId="0" fillId="0" fontId="4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5" numFmtId="0" xfId="0" applyAlignment="1" applyBorder="1" applyFont="1">
      <alignment horizontal="right" readingOrder="0" shrinkToFit="0" vertical="bottom" wrapText="0"/>
    </xf>
    <xf borderId="4" fillId="0" fontId="5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readingOrder="0" shrinkToFit="0" vertical="bottom" wrapText="0"/>
    </xf>
    <xf borderId="5" fillId="2" fontId="1" numFmtId="0" xfId="0" applyAlignment="1" applyBorder="1" applyFont="1">
      <alignment vertical="center"/>
    </xf>
    <xf borderId="4" fillId="2" fontId="1" numFmtId="3" xfId="0" applyAlignment="1" applyBorder="1" applyFont="1" applyNumberFormat="1">
      <alignment horizontal="right" vertical="center"/>
    </xf>
    <xf borderId="6" fillId="2" fontId="6" numFmtId="0" xfId="0" applyAlignment="1" applyBorder="1" applyFont="1">
      <alignment horizontal="left" vertical="center"/>
    </xf>
    <xf borderId="0" fillId="0" fontId="7" numFmtId="0" xfId="0" applyAlignment="1" applyFont="1">
      <alignment readingOrder="0"/>
    </xf>
    <xf borderId="4" fillId="0" fontId="8" numFmtId="0" xfId="0" applyBorder="1" applyFont="1"/>
    <xf borderId="4" fillId="0" fontId="8" numFmtId="0" xfId="0" applyAlignment="1" applyBorder="1" applyFont="1">
      <alignment readingOrder="0"/>
    </xf>
    <xf borderId="4" fillId="0" fontId="8" numFmtId="3" xfId="0" applyBorder="1" applyFont="1" applyNumberFormat="1"/>
    <xf borderId="4" fillId="0" fontId="8" numFmtId="4" xfId="0" applyBorder="1" applyFont="1" applyNumberFormat="1"/>
    <xf borderId="0" fillId="0" fontId="8" numFmtId="0" xfId="0" applyAlignment="1" applyFont="1">
      <alignment readingOrder="0"/>
    </xf>
    <xf borderId="4" fillId="2" fontId="3" numFmtId="4" xfId="0" applyAlignment="1" applyBorder="1" applyFont="1" applyNumberFormat="1">
      <alignment horizontal="right" vertical="center"/>
    </xf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3" numFmtId="0" xfId="0" applyBorder="1" applyFont="1"/>
    <xf borderId="0" fillId="0" fontId="3" numFmtId="0" xfId="0" applyFont="1"/>
    <xf borderId="11" fillId="0" fontId="3" numFmtId="0" xfId="0" applyBorder="1" applyFont="1"/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4" fillId="2" fontId="1" numFmtId="4" xfId="0" applyAlignment="1" applyBorder="1" applyFont="1" applyNumberFormat="1">
      <alignment horizontal="right" vertical="center"/>
    </xf>
    <xf borderId="0" fillId="0" fontId="8" numFmtId="4" xfId="0" applyFont="1" applyNumberFormat="1"/>
    <xf borderId="0" fillId="0" fontId="9" numFmtId="0" xfId="0" applyAlignment="1" applyFont="1">
      <alignment horizontal="center" readingOrder="0" vertical="center"/>
    </xf>
    <xf borderId="4" fillId="0" fontId="9" numFmtId="0" xfId="0" applyAlignment="1" applyBorder="1" applyFont="1">
      <alignment horizontal="center" readingOrder="0"/>
    </xf>
    <xf borderId="4" fillId="0" fontId="10" numFmtId="3" xfId="0" applyAlignment="1" applyBorder="1" applyFont="1" applyNumberFormat="1">
      <alignment horizontal="right" readingOrder="0" shrinkToFit="0" vertical="bottom" wrapText="0"/>
    </xf>
    <xf borderId="4" fillId="2" fontId="3" numFmtId="0" xfId="0" applyAlignment="1" applyBorder="1" applyFont="1">
      <alignment horizontal="left" readingOrder="0" vertical="center"/>
    </xf>
    <xf borderId="1" fillId="2" fontId="1" numFmtId="0" xfId="0" applyAlignment="1" applyBorder="1" applyFont="1">
      <alignment vertical="center"/>
    </xf>
    <xf borderId="4" fillId="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5" width="10.57"/>
    <col customWidth="1" min="6" max="9" width="8.71"/>
    <col customWidth="1" min="10" max="10" width="21.71"/>
    <col customWidth="1" min="11" max="26" width="8.71"/>
  </cols>
  <sheetData>
    <row r="1" ht="31.5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4.25" customHeight="1">
      <c r="A3" s="5" t="s">
        <v>5</v>
      </c>
      <c r="B3" s="6">
        <v>59956.0</v>
      </c>
      <c r="C3" s="6">
        <v>57129.0</v>
      </c>
      <c r="D3" s="6">
        <f t="shared" ref="D3:D18" si="1">B3+C3</f>
        <v>117085</v>
      </c>
    </row>
    <row r="4" ht="14.25" customHeight="1">
      <c r="A4" s="7" t="s">
        <v>6</v>
      </c>
      <c r="B4" s="6">
        <v>62916.0</v>
      </c>
      <c r="C4" s="6">
        <v>60072.0</v>
      </c>
      <c r="D4" s="6">
        <f t="shared" si="1"/>
        <v>122988</v>
      </c>
    </row>
    <row r="5" ht="14.25" customHeight="1">
      <c r="A5" s="8" t="s">
        <v>7</v>
      </c>
      <c r="B5" s="6">
        <v>65339.0</v>
      </c>
      <c r="C5" s="6">
        <v>61606.0</v>
      </c>
      <c r="D5" s="6">
        <f t="shared" si="1"/>
        <v>126945</v>
      </c>
    </row>
    <row r="6" ht="14.25" customHeight="1">
      <c r="A6" s="8" t="s">
        <v>8</v>
      </c>
      <c r="B6" s="6">
        <v>67286.0</v>
      </c>
      <c r="C6" s="6">
        <v>63530.0</v>
      </c>
      <c r="D6" s="6">
        <f t="shared" si="1"/>
        <v>130816</v>
      </c>
      <c r="J6" s="9" t="s">
        <v>9</v>
      </c>
    </row>
    <row r="7" ht="14.25" customHeight="1">
      <c r="A7" s="8" t="s">
        <v>10</v>
      </c>
      <c r="B7" s="6">
        <v>65164.0</v>
      </c>
      <c r="C7" s="6">
        <v>62662.0</v>
      </c>
      <c r="D7" s="6">
        <f t="shared" si="1"/>
        <v>127826</v>
      </c>
      <c r="J7" s="10"/>
      <c r="K7" s="10"/>
      <c r="L7" s="10"/>
      <c r="M7" s="10"/>
      <c r="N7" s="10"/>
      <c r="O7" s="10"/>
      <c r="P7" s="10"/>
    </row>
    <row r="8" ht="14.25" customHeight="1">
      <c r="A8" s="8" t="s">
        <v>11</v>
      </c>
      <c r="B8" s="6">
        <v>65090.0</v>
      </c>
      <c r="C8" s="6">
        <v>64926.0</v>
      </c>
      <c r="D8" s="6">
        <f t="shared" si="1"/>
        <v>130016</v>
      </c>
      <c r="J8" s="10"/>
      <c r="K8" s="10"/>
      <c r="L8" s="10"/>
      <c r="M8" s="10"/>
      <c r="N8" s="10"/>
      <c r="O8" s="10"/>
      <c r="P8" s="10"/>
    </row>
    <row r="9" ht="14.25" customHeight="1">
      <c r="A9" s="8" t="s">
        <v>12</v>
      </c>
      <c r="B9" s="6">
        <v>65816.0</v>
      </c>
      <c r="C9" s="6">
        <v>66879.0</v>
      </c>
      <c r="D9" s="6">
        <f t="shared" si="1"/>
        <v>132695</v>
      </c>
      <c r="J9" s="11"/>
      <c r="K9" s="12">
        <v>2020.0</v>
      </c>
      <c r="L9" s="12">
        <v>2021.0</v>
      </c>
      <c r="M9" s="12">
        <v>2022.0</v>
      </c>
      <c r="N9" s="12">
        <v>2023.0</v>
      </c>
      <c r="O9" s="12">
        <v>2024.0</v>
      </c>
      <c r="P9" s="10"/>
    </row>
    <row r="10" ht="14.25" customHeight="1">
      <c r="A10" s="8" t="s">
        <v>13</v>
      </c>
      <c r="B10" s="6">
        <v>66900.0</v>
      </c>
      <c r="C10" s="6">
        <v>68394.0</v>
      </c>
      <c r="D10" s="6">
        <f t="shared" si="1"/>
        <v>135294</v>
      </c>
      <c r="J10" s="13" t="s">
        <v>14</v>
      </c>
      <c r="K10" s="14">
        <v>28.52</v>
      </c>
      <c r="L10" s="14">
        <v>28.59</v>
      </c>
      <c r="M10" s="14">
        <v>28.68</v>
      </c>
      <c r="N10" s="14">
        <v>28.77</v>
      </c>
      <c r="O10" s="14">
        <v>28.91</v>
      </c>
      <c r="P10" s="10"/>
    </row>
    <row r="11" ht="14.25" customHeight="1">
      <c r="A11" s="5" t="s">
        <v>15</v>
      </c>
      <c r="B11" s="6">
        <v>65889.0</v>
      </c>
      <c r="C11" s="6">
        <v>68271.0</v>
      </c>
      <c r="D11" s="6">
        <f t="shared" si="1"/>
        <v>134160</v>
      </c>
    </row>
    <row r="12" ht="14.25" customHeight="1">
      <c r="A12" s="5" t="s">
        <v>16</v>
      </c>
      <c r="B12" s="6">
        <v>58527.0</v>
      </c>
      <c r="C12" s="6">
        <v>61788.0</v>
      </c>
      <c r="D12" s="6">
        <f t="shared" si="1"/>
        <v>120315</v>
      </c>
    </row>
    <row r="13" ht="14.25" customHeight="1">
      <c r="A13" s="5" t="s">
        <v>17</v>
      </c>
      <c r="B13" s="6">
        <v>51278.0</v>
      </c>
      <c r="C13" s="6">
        <v>55567.0</v>
      </c>
      <c r="D13" s="6">
        <f t="shared" si="1"/>
        <v>106845</v>
      </c>
    </row>
    <row r="14" ht="14.25" customHeight="1">
      <c r="A14" s="5" t="s">
        <v>18</v>
      </c>
      <c r="B14" s="6">
        <v>43285.0</v>
      </c>
      <c r="C14" s="6">
        <v>47881.0</v>
      </c>
      <c r="D14" s="6">
        <f t="shared" si="1"/>
        <v>91166</v>
      </c>
    </row>
    <row r="15" ht="14.25" customHeight="1">
      <c r="A15" s="5" t="s">
        <v>19</v>
      </c>
      <c r="B15" s="6">
        <v>34843.0</v>
      </c>
      <c r="C15" s="6">
        <v>38034.0</v>
      </c>
      <c r="D15" s="6">
        <f t="shared" si="1"/>
        <v>72877</v>
      </c>
    </row>
    <row r="16" ht="14.25" customHeight="1">
      <c r="A16" s="5" t="s">
        <v>20</v>
      </c>
      <c r="B16" s="6">
        <v>24313.0</v>
      </c>
      <c r="C16" s="6">
        <v>27697.0</v>
      </c>
      <c r="D16" s="6">
        <f t="shared" si="1"/>
        <v>52010</v>
      </c>
    </row>
    <row r="17" ht="14.25" customHeight="1">
      <c r="A17" s="5" t="s">
        <v>21</v>
      </c>
      <c r="B17" s="6">
        <v>11895.0</v>
      </c>
      <c r="C17" s="6">
        <v>14301.0</v>
      </c>
      <c r="D17" s="6">
        <f t="shared" si="1"/>
        <v>26196</v>
      </c>
    </row>
    <row r="18" ht="14.25" customHeight="1">
      <c r="A18" s="5" t="s">
        <v>22</v>
      </c>
      <c r="B18" s="6">
        <v>9944.0</v>
      </c>
      <c r="C18" s="6">
        <v>16346.0</v>
      </c>
      <c r="D18" s="6">
        <f t="shared" si="1"/>
        <v>26290</v>
      </c>
    </row>
    <row r="19" ht="14.25" customHeight="1">
      <c r="A19" s="15" t="s">
        <v>23</v>
      </c>
      <c r="B19" s="16">
        <f t="shared" ref="B19:D19" si="2">SUM(B3:B18)</f>
        <v>818441</v>
      </c>
      <c r="C19" s="16">
        <f t="shared" si="2"/>
        <v>835083</v>
      </c>
      <c r="D19" s="16">
        <f t="shared" si="2"/>
        <v>1653524</v>
      </c>
    </row>
    <row r="20" ht="14.25" customHeight="1">
      <c r="A20" s="17" t="s">
        <v>24</v>
      </c>
    </row>
    <row r="21" ht="14.25" customHeight="1"/>
    <row r="22" ht="14.25" customHeight="1">
      <c r="A22" s="18" t="s">
        <v>25</v>
      </c>
    </row>
    <row r="23" ht="14.25" customHeight="1"/>
    <row r="24" ht="14.25" customHeight="1">
      <c r="A24" s="19"/>
      <c r="B24" s="20" t="s">
        <v>26</v>
      </c>
      <c r="C24" s="20" t="s">
        <v>27</v>
      </c>
    </row>
    <row r="25" ht="14.25" customHeight="1">
      <c r="A25" s="20" t="s">
        <v>28</v>
      </c>
      <c r="B25" s="21">
        <f>sum(D3:D5)</f>
        <v>367018</v>
      </c>
      <c r="C25" s="22">
        <f>B25/B28*100</f>
        <v>22.19610964</v>
      </c>
    </row>
    <row r="26" ht="14.25" customHeight="1">
      <c r="A26" s="20" t="s">
        <v>29</v>
      </c>
      <c r="B26" s="21">
        <f>sum(D6:D15)</f>
        <v>1182010</v>
      </c>
      <c r="C26" s="22">
        <f>B26/B28*100</f>
        <v>71.48429657</v>
      </c>
    </row>
    <row r="27" ht="14.25" customHeight="1">
      <c r="A27" s="20" t="s">
        <v>30</v>
      </c>
      <c r="B27" s="21">
        <f>sum(D16:D18)</f>
        <v>104496</v>
      </c>
      <c r="C27" s="22">
        <f>B27/B28*100</f>
        <v>6.319593789</v>
      </c>
    </row>
    <row r="28" ht="14.25" customHeight="1">
      <c r="A28" s="19"/>
      <c r="B28" s="21">
        <f>SUM(B25:B27)</f>
        <v>1653524</v>
      </c>
      <c r="C28" s="19"/>
    </row>
    <row r="29" ht="14.25" customHeight="1"/>
    <row r="30" ht="14.25" customHeight="1">
      <c r="A30" s="23" t="s">
        <v>31</v>
      </c>
    </row>
    <row r="31" ht="14.25" customHeight="1">
      <c r="A31" s="23" t="s">
        <v>32</v>
      </c>
    </row>
    <row r="32" ht="14.25" customHeight="1">
      <c r="A32" s="23" t="s">
        <v>33</v>
      </c>
    </row>
    <row r="33" ht="14.25" customHeight="1">
      <c r="A33" s="23" t="s">
        <v>34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J6:P6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4" width="10.57"/>
    <col customWidth="1" min="5" max="26" width="8.71"/>
  </cols>
  <sheetData>
    <row r="1" ht="31.5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4.25" customHeight="1">
      <c r="A3" s="5" t="s">
        <v>5</v>
      </c>
      <c r="B3" s="6">
        <v>59504.0</v>
      </c>
      <c r="C3" s="6">
        <v>56673.0</v>
      </c>
      <c r="D3" s="6">
        <f t="shared" ref="D3:D18" si="1">B3+C3</f>
        <v>116177</v>
      </c>
    </row>
    <row r="4" ht="14.25" customHeight="1">
      <c r="A4" s="7" t="s">
        <v>6</v>
      </c>
      <c r="B4" s="6">
        <v>62324.0</v>
      </c>
      <c r="C4" s="6">
        <v>59608.0</v>
      </c>
      <c r="D4" s="6">
        <f t="shared" si="1"/>
        <v>121932</v>
      </c>
    </row>
    <row r="5" ht="14.25" customHeight="1">
      <c r="A5" s="8" t="s">
        <v>7</v>
      </c>
      <c r="B5" s="6">
        <v>64596.0</v>
      </c>
      <c r="C5" s="6">
        <v>61052.0</v>
      </c>
      <c r="D5" s="6">
        <f t="shared" si="1"/>
        <v>125648</v>
      </c>
    </row>
    <row r="6" ht="14.25" customHeight="1">
      <c r="A6" s="8" t="s">
        <v>8</v>
      </c>
      <c r="B6" s="6">
        <v>66546.0</v>
      </c>
      <c r="C6" s="6">
        <v>62632.0</v>
      </c>
      <c r="D6" s="6">
        <f t="shared" si="1"/>
        <v>129178</v>
      </c>
    </row>
    <row r="7" ht="14.25" customHeight="1">
      <c r="A7" s="8" t="s">
        <v>10</v>
      </c>
      <c r="B7" s="6">
        <v>64040.0</v>
      </c>
      <c r="C7" s="6">
        <v>61511.0</v>
      </c>
      <c r="D7" s="6">
        <f t="shared" si="1"/>
        <v>125551</v>
      </c>
    </row>
    <row r="8" ht="14.25" customHeight="1">
      <c r="A8" s="8" t="s">
        <v>11</v>
      </c>
      <c r="B8" s="6">
        <v>64617.0</v>
      </c>
      <c r="C8" s="6">
        <v>64356.0</v>
      </c>
      <c r="D8" s="6">
        <f t="shared" si="1"/>
        <v>128973</v>
      </c>
    </row>
    <row r="9" ht="14.25" customHeight="1">
      <c r="A9" s="8" t="s">
        <v>12</v>
      </c>
      <c r="B9" s="6">
        <v>65580.0</v>
      </c>
      <c r="C9" s="6">
        <v>66547.0</v>
      </c>
      <c r="D9" s="6">
        <f t="shared" si="1"/>
        <v>132127</v>
      </c>
    </row>
    <row r="10" ht="14.25" customHeight="1">
      <c r="A10" s="8" t="s">
        <v>13</v>
      </c>
      <c r="B10" s="6">
        <v>67039.0</v>
      </c>
      <c r="C10" s="6">
        <v>68197.0</v>
      </c>
      <c r="D10" s="6">
        <f t="shared" si="1"/>
        <v>135236</v>
      </c>
    </row>
    <row r="11" ht="14.25" customHeight="1">
      <c r="A11" s="5" t="s">
        <v>15</v>
      </c>
      <c r="B11" s="6">
        <v>66165.0</v>
      </c>
      <c r="C11" s="6">
        <v>68233.0</v>
      </c>
      <c r="D11" s="6">
        <f t="shared" si="1"/>
        <v>134398</v>
      </c>
    </row>
    <row r="12" ht="14.25" customHeight="1">
      <c r="A12" s="5" t="s">
        <v>16</v>
      </c>
      <c r="B12" s="6">
        <v>59085.0</v>
      </c>
      <c r="C12" s="6">
        <v>62225.0</v>
      </c>
      <c r="D12" s="6">
        <f t="shared" si="1"/>
        <v>121310</v>
      </c>
    </row>
    <row r="13" ht="14.25" customHeight="1">
      <c r="A13" s="5" t="s">
        <v>17</v>
      </c>
      <c r="B13" s="6">
        <v>51914.0</v>
      </c>
      <c r="C13" s="6">
        <v>56164.0</v>
      </c>
      <c r="D13" s="6">
        <f t="shared" si="1"/>
        <v>108078</v>
      </c>
    </row>
    <row r="14" ht="14.25" customHeight="1">
      <c r="A14" s="5" t="s">
        <v>18</v>
      </c>
      <c r="B14" s="6">
        <v>44172.0</v>
      </c>
      <c r="C14" s="6">
        <v>48986.0</v>
      </c>
      <c r="D14" s="6">
        <f t="shared" si="1"/>
        <v>93158</v>
      </c>
    </row>
    <row r="15" ht="14.25" customHeight="1">
      <c r="A15" s="5" t="s">
        <v>19</v>
      </c>
      <c r="B15" s="6">
        <v>35730.0</v>
      </c>
      <c r="C15" s="6">
        <v>39247.0</v>
      </c>
      <c r="D15" s="6">
        <f t="shared" si="1"/>
        <v>74977</v>
      </c>
    </row>
    <row r="16" ht="14.25" customHeight="1">
      <c r="A16" s="5" t="s">
        <v>20</v>
      </c>
      <c r="B16" s="6">
        <v>25328.0</v>
      </c>
      <c r="C16" s="6">
        <v>28949.0</v>
      </c>
      <c r="D16" s="6">
        <f t="shared" si="1"/>
        <v>54277</v>
      </c>
    </row>
    <row r="17" ht="14.25" customHeight="1">
      <c r="A17" s="5" t="s">
        <v>21</v>
      </c>
      <c r="B17" s="6">
        <v>12696.0</v>
      </c>
      <c r="C17" s="6">
        <v>15245.0</v>
      </c>
      <c r="D17" s="6">
        <f t="shared" si="1"/>
        <v>27941</v>
      </c>
    </row>
    <row r="18" ht="14.25" customHeight="1">
      <c r="A18" s="5" t="s">
        <v>22</v>
      </c>
      <c r="B18" s="6">
        <v>10449.0</v>
      </c>
      <c r="C18" s="6">
        <v>17154.0</v>
      </c>
      <c r="D18" s="6">
        <f t="shared" si="1"/>
        <v>27603</v>
      </c>
    </row>
    <row r="19" ht="14.25" customHeight="1">
      <c r="A19" s="15" t="s">
        <v>23</v>
      </c>
      <c r="B19" s="16">
        <f t="shared" ref="B19:D19" si="2">SUM(B3:B18)</f>
        <v>819785</v>
      </c>
      <c r="C19" s="16">
        <f t="shared" si="2"/>
        <v>836779</v>
      </c>
      <c r="D19" s="16">
        <f t="shared" si="2"/>
        <v>1656564</v>
      </c>
    </row>
    <row r="20" ht="14.25" customHeight="1">
      <c r="A20" s="17" t="s">
        <v>35</v>
      </c>
    </row>
    <row r="21" ht="14.25" customHeight="1"/>
    <row r="22" ht="14.25" customHeight="1">
      <c r="A22" s="18" t="s">
        <v>25</v>
      </c>
    </row>
    <row r="23" ht="14.25" customHeight="1"/>
    <row r="24" ht="14.25" customHeight="1">
      <c r="A24" s="19"/>
      <c r="B24" s="20" t="s">
        <v>26</v>
      </c>
      <c r="C24" s="20" t="s">
        <v>27</v>
      </c>
    </row>
    <row r="25" ht="14.25" customHeight="1">
      <c r="A25" s="20" t="s">
        <v>28</v>
      </c>
      <c r="B25" s="21">
        <f>sum(D3:D5)</f>
        <v>363757</v>
      </c>
      <c r="C25" s="22">
        <f>B25/B28*100</f>
        <v>21.95852379</v>
      </c>
    </row>
    <row r="26" ht="14.25" customHeight="1">
      <c r="A26" s="20" t="s">
        <v>29</v>
      </c>
      <c r="B26" s="21">
        <f>sum(D6:D15)</f>
        <v>1182986</v>
      </c>
      <c r="C26" s="22">
        <f>B26/B28*100</f>
        <v>71.41203117</v>
      </c>
    </row>
    <row r="27" ht="14.25" customHeight="1">
      <c r="A27" s="20" t="s">
        <v>30</v>
      </c>
      <c r="B27" s="21">
        <f>sum(D16:D18)</f>
        <v>109821</v>
      </c>
      <c r="C27" s="22">
        <f>B27/B28*100</f>
        <v>6.629445044</v>
      </c>
    </row>
    <row r="28" ht="14.25" customHeight="1">
      <c r="A28" s="19"/>
      <c r="B28" s="21">
        <f>SUM(B25:B27)</f>
        <v>1656564</v>
      </c>
      <c r="C28" s="19"/>
    </row>
    <row r="29" ht="14.25" customHeight="1"/>
    <row r="30" ht="14.25" customHeight="1">
      <c r="A30" s="23" t="s">
        <v>31</v>
      </c>
    </row>
    <row r="31" ht="14.25" customHeight="1">
      <c r="A31" s="23" t="s">
        <v>32</v>
      </c>
    </row>
    <row r="32" ht="14.25" customHeight="1">
      <c r="A32" s="23" t="s">
        <v>33</v>
      </c>
    </row>
    <row r="33" ht="14.25" customHeight="1">
      <c r="A33" s="23" t="s">
        <v>34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4" width="10.57"/>
    <col customWidth="1" min="5" max="26" width="8.71"/>
  </cols>
  <sheetData>
    <row r="1" ht="31.5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4.25" customHeight="1">
      <c r="A3" s="5" t="s">
        <v>5</v>
      </c>
      <c r="B3" s="6">
        <v>59101.0</v>
      </c>
      <c r="C3" s="6">
        <v>56283.0</v>
      </c>
      <c r="D3" s="6">
        <f t="shared" ref="D3:D18" si="1">B3+C3</f>
        <v>115384</v>
      </c>
    </row>
    <row r="4" ht="14.25" customHeight="1">
      <c r="A4" s="7" t="s">
        <v>6</v>
      </c>
      <c r="B4" s="6">
        <v>61865.0</v>
      </c>
      <c r="C4" s="6">
        <v>59196.0</v>
      </c>
      <c r="D4" s="6">
        <f t="shared" si="1"/>
        <v>121061</v>
      </c>
    </row>
    <row r="5" ht="14.25" customHeight="1">
      <c r="A5" s="8" t="s">
        <v>7</v>
      </c>
      <c r="B5" s="6">
        <v>63815.0</v>
      </c>
      <c r="C5" s="6">
        <v>60517.0</v>
      </c>
      <c r="D5" s="6">
        <f t="shared" si="1"/>
        <v>124332</v>
      </c>
    </row>
    <row r="6" ht="14.25" customHeight="1">
      <c r="A6" s="8" t="s">
        <v>8</v>
      </c>
      <c r="B6" s="6">
        <v>65937.0</v>
      </c>
      <c r="C6" s="6">
        <v>61897.0</v>
      </c>
      <c r="D6" s="6">
        <f t="shared" si="1"/>
        <v>127834</v>
      </c>
    </row>
    <row r="7" ht="14.25" customHeight="1">
      <c r="A7" s="8" t="s">
        <v>10</v>
      </c>
      <c r="B7" s="6">
        <v>62965.0</v>
      </c>
      <c r="C7" s="6">
        <v>60391.0</v>
      </c>
      <c r="D7" s="6">
        <f t="shared" si="1"/>
        <v>123356</v>
      </c>
    </row>
    <row r="8" ht="14.25" customHeight="1">
      <c r="A8" s="8" t="s">
        <v>11</v>
      </c>
      <c r="B8" s="6">
        <v>64097.0</v>
      </c>
      <c r="C8" s="6">
        <v>63745.0</v>
      </c>
      <c r="D8" s="6">
        <f t="shared" si="1"/>
        <v>127842</v>
      </c>
    </row>
    <row r="9" ht="14.25" customHeight="1">
      <c r="A9" s="8" t="s">
        <v>12</v>
      </c>
      <c r="B9" s="6">
        <v>65280.0</v>
      </c>
      <c r="C9" s="6">
        <v>66154.0</v>
      </c>
      <c r="D9" s="6">
        <f t="shared" si="1"/>
        <v>131434</v>
      </c>
    </row>
    <row r="10" ht="14.25" customHeight="1">
      <c r="A10" s="8" t="s">
        <v>13</v>
      </c>
      <c r="B10" s="6">
        <v>67209.0</v>
      </c>
      <c r="C10" s="6">
        <v>68102.0</v>
      </c>
      <c r="D10" s="6">
        <f t="shared" si="1"/>
        <v>135311</v>
      </c>
    </row>
    <row r="11" ht="14.25" customHeight="1">
      <c r="A11" s="5" t="s">
        <v>15</v>
      </c>
      <c r="B11" s="6">
        <v>66353.0</v>
      </c>
      <c r="C11" s="6">
        <v>68052.0</v>
      </c>
      <c r="D11" s="6">
        <f t="shared" si="1"/>
        <v>134405</v>
      </c>
    </row>
    <row r="12" ht="14.25" customHeight="1">
      <c r="A12" s="5" t="s">
        <v>16</v>
      </c>
      <c r="B12" s="6">
        <v>59709.0</v>
      </c>
      <c r="C12" s="6">
        <v>62734.0</v>
      </c>
      <c r="D12" s="6">
        <f t="shared" si="1"/>
        <v>122443</v>
      </c>
    </row>
    <row r="13" ht="14.25" customHeight="1">
      <c r="A13" s="5" t="s">
        <v>17</v>
      </c>
      <c r="B13" s="6">
        <v>52471.0</v>
      </c>
      <c r="C13" s="6">
        <v>56642.0</v>
      </c>
      <c r="D13" s="6">
        <f t="shared" si="1"/>
        <v>109113</v>
      </c>
    </row>
    <row r="14" ht="14.25" customHeight="1">
      <c r="A14" s="5" t="s">
        <v>18</v>
      </c>
      <c r="B14" s="6">
        <v>45089.0</v>
      </c>
      <c r="C14" s="6">
        <v>50074.0</v>
      </c>
      <c r="D14" s="6">
        <f t="shared" si="1"/>
        <v>95163</v>
      </c>
    </row>
    <row r="15" ht="14.25" customHeight="1">
      <c r="A15" s="5" t="s">
        <v>19</v>
      </c>
      <c r="B15" s="6">
        <v>36590.0</v>
      </c>
      <c r="C15" s="6">
        <v>40450.0</v>
      </c>
      <c r="D15" s="6">
        <f t="shared" si="1"/>
        <v>77040</v>
      </c>
    </row>
    <row r="16" ht="14.25" customHeight="1">
      <c r="A16" s="5" t="s">
        <v>20</v>
      </c>
      <c r="B16" s="6">
        <v>26271.0</v>
      </c>
      <c r="C16" s="6">
        <v>30137.0</v>
      </c>
      <c r="D16" s="6">
        <f t="shared" si="1"/>
        <v>56408</v>
      </c>
    </row>
    <row r="17" ht="14.25" customHeight="1">
      <c r="A17" s="5" t="s">
        <v>21</v>
      </c>
      <c r="B17" s="6">
        <v>13534.0</v>
      </c>
      <c r="C17" s="6">
        <v>16252.0</v>
      </c>
      <c r="D17" s="6">
        <f t="shared" si="1"/>
        <v>29786</v>
      </c>
    </row>
    <row r="18" ht="14.25" customHeight="1">
      <c r="A18" s="5" t="s">
        <v>22</v>
      </c>
      <c r="B18" s="6">
        <v>11019.0</v>
      </c>
      <c r="C18" s="6">
        <v>18044.0</v>
      </c>
      <c r="D18" s="6">
        <f t="shared" si="1"/>
        <v>29063</v>
      </c>
    </row>
    <row r="19" ht="14.25" customHeight="1">
      <c r="A19" s="15" t="s">
        <v>23</v>
      </c>
      <c r="B19" s="16">
        <f t="shared" ref="B19:D19" si="2">SUM(B3:B18)</f>
        <v>821305</v>
      </c>
      <c r="C19" s="16">
        <f t="shared" si="2"/>
        <v>838670</v>
      </c>
      <c r="D19" s="16">
        <f t="shared" si="2"/>
        <v>1659975</v>
      </c>
    </row>
    <row r="20" ht="14.25" customHeight="1">
      <c r="A20" s="17" t="s">
        <v>35</v>
      </c>
    </row>
    <row r="21" ht="14.25" customHeight="1"/>
    <row r="22" ht="14.25" customHeight="1">
      <c r="A22" s="18" t="s">
        <v>25</v>
      </c>
    </row>
    <row r="23" ht="14.25" customHeight="1"/>
    <row r="24" ht="14.25" customHeight="1">
      <c r="A24" s="19"/>
      <c r="B24" s="20" t="s">
        <v>26</v>
      </c>
      <c r="C24" s="20" t="s">
        <v>27</v>
      </c>
    </row>
    <row r="25" ht="14.25" customHeight="1">
      <c r="A25" s="20" t="s">
        <v>28</v>
      </c>
      <c r="B25" s="21">
        <f>sum(D3:D5)</f>
        <v>360777</v>
      </c>
      <c r="C25" s="22">
        <f>B25/B28*100</f>
        <v>21.73388153</v>
      </c>
    </row>
    <row r="26" ht="14.25" customHeight="1">
      <c r="A26" s="20" t="s">
        <v>29</v>
      </c>
      <c r="B26" s="21">
        <f>sum(D6:D15)</f>
        <v>1183941</v>
      </c>
      <c r="C26" s="22">
        <f>B26/B28*100</f>
        <v>71.32282113</v>
      </c>
    </row>
    <row r="27" ht="14.25" customHeight="1">
      <c r="A27" s="20" t="s">
        <v>30</v>
      </c>
      <c r="B27" s="21">
        <f>sum(D16:D18)</f>
        <v>115257</v>
      </c>
      <c r="C27" s="22">
        <f>B27/B28*100</f>
        <v>6.943297339</v>
      </c>
    </row>
    <row r="28" ht="14.25" customHeight="1">
      <c r="A28" s="19"/>
      <c r="B28" s="21">
        <f>SUM(B25:B27)</f>
        <v>1659975</v>
      </c>
      <c r="C28" s="19"/>
    </row>
    <row r="29" ht="14.25" customHeight="1"/>
    <row r="30" ht="14.25" customHeight="1">
      <c r="A30" s="23" t="s">
        <v>31</v>
      </c>
    </row>
    <row r="31" ht="14.25" customHeight="1">
      <c r="A31" s="23" t="s">
        <v>32</v>
      </c>
    </row>
    <row r="32" ht="14.25" customHeight="1">
      <c r="A32" s="23" t="s">
        <v>33</v>
      </c>
    </row>
    <row r="33" ht="14.25" customHeight="1">
      <c r="A33" s="23" t="s">
        <v>34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4" width="10.57"/>
    <col customWidth="1" min="5" max="26" width="8.71"/>
  </cols>
  <sheetData>
    <row r="1" ht="31.5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4.25" customHeight="1">
      <c r="A3" s="5" t="s">
        <v>5</v>
      </c>
      <c r="B3" s="24">
        <v>58.28</v>
      </c>
      <c r="C3" s="24">
        <v>55.86</v>
      </c>
      <c r="D3" s="24">
        <f t="shared" ref="D3:D18" si="1">B3+C3</f>
        <v>114.14</v>
      </c>
      <c r="F3" s="25" t="s">
        <v>36</v>
      </c>
      <c r="G3" s="26" t="s">
        <v>37</v>
      </c>
      <c r="H3" s="26"/>
      <c r="I3" s="26"/>
      <c r="J3" s="26"/>
      <c r="K3" s="26"/>
      <c r="L3" s="26"/>
      <c r="M3" s="26"/>
      <c r="N3" s="26"/>
      <c r="O3" s="26"/>
      <c r="P3" s="27"/>
    </row>
    <row r="4" ht="14.25" customHeight="1">
      <c r="A4" s="7" t="s">
        <v>6</v>
      </c>
      <c r="B4" s="24">
        <v>61.67</v>
      </c>
      <c r="C4" s="24">
        <v>58.66</v>
      </c>
      <c r="D4" s="24">
        <f t="shared" si="1"/>
        <v>120.33</v>
      </c>
      <c r="F4" s="28"/>
      <c r="G4" s="29" t="s">
        <v>38</v>
      </c>
      <c r="H4" s="29"/>
      <c r="I4" s="29"/>
      <c r="J4" s="29"/>
      <c r="K4" s="29"/>
      <c r="L4" s="29"/>
      <c r="M4" s="29"/>
      <c r="N4" s="29"/>
      <c r="O4" s="29"/>
      <c r="P4" s="30"/>
    </row>
    <row r="5" ht="14.25" customHeight="1">
      <c r="A5" s="8" t="s">
        <v>7</v>
      </c>
      <c r="B5" s="24">
        <v>64.07</v>
      </c>
      <c r="C5" s="24">
        <v>60.59</v>
      </c>
      <c r="D5" s="24">
        <f t="shared" si="1"/>
        <v>124.66</v>
      </c>
      <c r="F5" s="31"/>
      <c r="G5" s="32" t="s">
        <v>39</v>
      </c>
      <c r="H5" s="32"/>
      <c r="I5" s="32"/>
      <c r="J5" s="32"/>
      <c r="K5" s="32"/>
      <c r="L5" s="32"/>
      <c r="M5" s="32"/>
      <c r="N5" s="32"/>
      <c r="O5" s="32"/>
      <c r="P5" s="33"/>
    </row>
    <row r="6" ht="14.25" customHeight="1">
      <c r="A6" s="8" t="s">
        <v>8</v>
      </c>
      <c r="B6" s="24">
        <v>66.36</v>
      </c>
      <c r="C6" s="24">
        <v>62.6</v>
      </c>
      <c r="D6" s="24">
        <f t="shared" si="1"/>
        <v>128.96</v>
      </c>
    </row>
    <row r="7" ht="14.25" customHeight="1">
      <c r="A7" s="8" t="s">
        <v>10</v>
      </c>
      <c r="B7" s="24">
        <v>66.33</v>
      </c>
      <c r="C7" s="24">
        <v>63.13</v>
      </c>
      <c r="D7" s="24">
        <f t="shared" si="1"/>
        <v>129.46</v>
      </c>
    </row>
    <row r="8" ht="14.25" customHeight="1">
      <c r="A8" s="8" t="s">
        <v>11</v>
      </c>
      <c r="B8" s="24">
        <v>64.29</v>
      </c>
      <c r="C8" s="24">
        <v>63.34</v>
      </c>
      <c r="D8" s="24">
        <f t="shared" si="1"/>
        <v>127.63</v>
      </c>
    </row>
    <row r="9" ht="14.25" customHeight="1">
      <c r="A9" s="8" t="s">
        <v>12</v>
      </c>
      <c r="B9" s="24">
        <v>65.09</v>
      </c>
      <c r="C9" s="24">
        <v>65.77</v>
      </c>
      <c r="D9" s="24">
        <f t="shared" si="1"/>
        <v>130.86</v>
      </c>
    </row>
    <row r="10" ht="14.25" customHeight="1">
      <c r="A10" s="8" t="s">
        <v>13</v>
      </c>
      <c r="B10" s="24">
        <v>66.06</v>
      </c>
      <c r="C10" s="24">
        <v>67.25</v>
      </c>
      <c r="D10" s="24">
        <f t="shared" si="1"/>
        <v>133.31</v>
      </c>
    </row>
    <row r="11" ht="14.25" customHeight="1">
      <c r="A11" s="5" t="s">
        <v>15</v>
      </c>
      <c r="B11" s="24">
        <v>66.63</v>
      </c>
      <c r="C11" s="24">
        <v>68.57</v>
      </c>
      <c r="D11" s="24">
        <f t="shared" si="1"/>
        <v>135.2</v>
      </c>
    </row>
    <row r="12" ht="14.25" customHeight="1">
      <c r="A12" s="5" t="s">
        <v>16</v>
      </c>
      <c r="B12" s="24">
        <v>62.77</v>
      </c>
      <c r="C12" s="24">
        <v>65.73</v>
      </c>
      <c r="D12" s="24">
        <f t="shared" si="1"/>
        <v>128.5</v>
      </c>
    </row>
    <row r="13" ht="14.25" customHeight="1">
      <c r="A13" s="5" t="s">
        <v>17</v>
      </c>
      <c r="B13" s="24">
        <v>54.66</v>
      </c>
      <c r="C13" s="24">
        <v>58.68</v>
      </c>
      <c r="D13" s="24">
        <f t="shared" si="1"/>
        <v>113.34</v>
      </c>
    </row>
    <row r="14" ht="14.25" customHeight="1">
      <c r="A14" s="5" t="s">
        <v>18</v>
      </c>
      <c r="B14" s="24">
        <v>46.88</v>
      </c>
      <c r="C14" s="24">
        <v>51.97</v>
      </c>
      <c r="D14" s="24">
        <f t="shared" si="1"/>
        <v>98.85</v>
      </c>
    </row>
    <row r="15" ht="14.25" customHeight="1">
      <c r="A15" s="5" t="s">
        <v>19</v>
      </c>
      <c r="B15" s="24">
        <v>38.22</v>
      </c>
      <c r="C15" s="24">
        <v>42.92</v>
      </c>
      <c r="D15" s="24">
        <f t="shared" si="1"/>
        <v>81.14</v>
      </c>
    </row>
    <row r="16" ht="14.25" customHeight="1">
      <c r="A16" s="5" t="s">
        <v>20</v>
      </c>
      <c r="B16" s="24">
        <v>28.67</v>
      </c>
      <c r="C16" s="24">
        <v>32.67</v>
      </c>
      <c r="D16" s="24">
        <f t="shared" si="1"/>
        <v>61.34</v>
      </c>
    </row>
    <row r="17" ht="14.25" customHeight="1">
      <c r="A17" s="5" t="s">
        <v>21</v>
      </c>
      <c r="B17" s="24">
        <v>17.02</v>
      </c>
      <c r="C17" s="24">
        <v>20.6</v>
      </c>
      <c r="D17" s="24">
        <f t="shared" si="1"/>
        <v>37.62</v>
      </c>
    </row>
    <row r="18" ht="14.25" customHeight="1">
      <c r="A18" s="5" t="s">
        <v>22</v>
      </c>
      <c r="B18" s="24">
        <v>11.45</v>
      </c>
      <c r="C18" s="24">
        <v>17.99</v>
      </c>
      <c r="D18" s="24">
        <f t="shared" si="1"/>
        <v>29.44</v>
      </c>
    </row>
    <row r="19" ht="14.25" customHeight="1">
      <c r="A19" s="15" t="s">
        <v>23</v>
      </c>
      <c r="B19" s="34">
        <f t="shared" ref="B19:D19" si="2">SUM(B3:B18)</f>
        <v>838.45</v>
      </c>
      <c r="C19" s="34">
        <f t="shared" si="2"/>
        <v>856.33</v>
      </c>
      <c r="D19" s="34">
        <f t="shared" si="2"/>
        <v>1694.78</v>
      </c>
    </row>
    <row r="20" ht="14.25" customHeight="1">
      <c r="A20" s="17" t="s">
        <v>40</v>
      </c>
    </row>
    <row r="21" ht="14.25" customHeight="1"/>
    <row r="22" ht="14.25" customHeight="1">
      <c r="A22" s="18" t="s">
        <v>25</v>
      </c>
    </row>
    <row r="23" ht="14.25" customHeight="1"/>
    <row r="24" ht="14.25" customHeight="1">
      <c r="A24" s="19"/>
      <c r="B24" s="20" t="s">
        <v>26</v>
      </c>
      <c r="C24" s="20" t="s">
        <v>27</v>
      </c>
    </row>
    <row r="25" ht="14.25" customHeight="1">
      <c r="A25" s="20" t="s">
        <v>28</v>
      </c>
      <c r="B25" s="22">
        <f>sum(D3:D5)</f>
        <v>359.13</v>
      </c>
      <c r="C25" s="22">
        <f>B25/B28*100</f>
        <v>21.19036099</v>
      </c>
    </row>
    <row r="26" ht="14.25" customHeight="1">
      <c r="A26" s="20" t="s">
        <v>29</v>
      </c>
      <c r="B26" s="22">
        <f>sum(D6:D15)</f>
        <v>1207.25</v>
      </c>
      <c r="C26" s="22">
        <f>B26/B28*100</f>
        <v>71.23343443</v>
      </c>
    </row>
    <row r="27" ht="14.25" customHeight="1">
      <c r="A27" s="20" t="s">
        <v>30</v>
      </c>
      <c r="B27" s="22">
        <f>sum(D16:D18)</f>
        <v>128.4</v>
      </c>
      <c r="C27" s="22">
        <f>B27/B28*100</f>
        <v>7.576204581</v>
      </c>
    </row>
    <row r="28" ht="14.25" customHeight="1">
      <c r="A28" s="19"/>
      <c r="B28" s="22">
        <f>SUM(B25:B27)</f>
        <v>1694.78</v>
      </c>
      <c r="C28" s="19"/>
    </row>
    <row r="29" ht="14.25" customHeight="1"/>
    <row r="30" ht="14.25" customHeight="1">
      <c r="A30" s="23" t="s">
        <v>31</v>
      </c>
    </row>
    <row r="31" ht="14.25" customHeight="1">
      <c r="A31" s="23" t="s">
        <v>32</v>
      </c>
    </row>
    <row r="32" ht="14.25" customHeight="1">
      <c r="A32" s="23" t="s">
        <v>33</v>
      </c>
    </row>
    <row r="33" ht="14.25" customHeight="1">
      <c r="A33" s="23" t="s">
        <v>34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4" width="10.57"/>
    <col customWidth="1" min="5" max="26" width="8.71"/>
  </cols>
  <sheetData>
    <row r="1" ht="31.5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4" t="s">
        <v>2</v>
      </c>
      <c r="C2" s="4" t="s">
        <v>3</v>
      </c>
      <c r="D2" s="4" t="s">
        <v>4</v>
      </c>
    </row>
    <row r="3" ht="14.25" customHeight="1">
      <c r="A3" s="5" t="s">
        <v>5</v>
      </c>
      <c r="B3" s="6">
        <v>57967.0</v>
      </c>
      <c r="C3" s="6">
        <v>55667.0</v>
      </c>
      <c r="D3" s="6">
        <f t="shared" ref="D3:D18" si="1">B3+C3</f>
        <v>113634</v>
      </c>
    </row>
    <row r="4" ht="14.25" customHeight="1">
      <c r="A4" s="7" t="s">
        <v>6</v>
      </c>
      <c r="B4" s="6">
        <v>61120.0</v>
      </c>
      <c r="C4" s="6">
        <v>58045.0</v>
      </c>
      <c r="D4" s="6">
        <f t="shared" si="1"/>
        <v>119165</v>
      </c>
    </row>
    <row r="5" ht="14.25" customHeight="1">
      <c r="A5" s="8" t="s">
        <v>7</v>
      </c>
      <c r="B5" s="6">
        <v>63672.0</v>
      </c>
      <c r="C5" s="6">
        <v>60287.0</v>
      </c>
      <c r="D5" s="6">
        <f t="shared" si="1"/>
        <v>123959</v>
      </c>
    </row>
    <row r="6" ht="14.25" customHeight="1">
      <c r="A6" s="8" t="s">
        <v>8</v>
      </c>
      <c r="B6" s="6">
        <v>65890.0</v>
      </c>
      <c r="C6" s="6">
        <v>62137.0</v>
      </c>
      <c r="D6" s="6">
        <f t="shared" si="1"/>
        <v>128027</v>
      </c>
    </row>
    <row r="7" ht="14.25" customHeight="1">
      <c r="A7" s="8" t="s">
        <v>10</v>
      </c>
      <c r="B7" s="6">
        <v>66726.0</v>
      </c>
      <c r="C7" s="6">
        <v>63426.0</v>
      </c>
      <c r="D7" s="6">
        <f t="shared" si="1"/>
        <v>130152</v>
      </c>
    </row>
    <row r="8" ht="14.25" customHeight="1">
      <c r="A8" s="8" t="s">
        <v>11</v>
      </c>
      <c r="B8" s="6">
        <v>64245.0</v>
      </c>
      <c r="C8" s="6">
        <v>62935.0</v>
      </c>
      <c r="D8" s="6">
        <f t="shared" si="1"/>
        <v>127180</v>
      </c>
    </row>
    <row r="9" ht="14.25" customHeight="1">
      <c r="A9" s="8" t="s">
        <v>12</v>
      </c>
      <c r="B9" s="6">
        <v>64864.0</v>
      </c>
      <c r="C9" s="6">
        <v>65434.0</v>
      </c>
      <c r="D9" s="6">
        <f t="shared" si="1"/>
        <v>130298</v>
      </c>
    </row>
    <row r="10" ht="14.25" customHeight="1">
      <c r="A10" s="8" t="s">
        <v>13</v>
      </c>
      <c r="B10" s="6">
        <v>65815.0</v>
      </c>
      <c r="C10" s="6">
        <v>66913.0</v>
      </c>
      <c r="D10" s="6">
        <f t="shared" si="1"/>
        <v>132728</v>
      </c>
    </row>
    <row r="11" ht="14.25" customHeight="1">
      <c r="A11" s="5" t="s">
        <v>15</v>
      </c>
      <c r="B11" s="6">
        <v>66510.0</v>
      </c>
      <c r="C11" s="6">
        <v>68283.0</v>
      </c>
      <c r="D11" s="6">
        <f t="shared" si="1"/>
        <v>134793</v>
      </c>
    </row>
    <row r="12" ht="14.25" customHeight="1">
      <c r="A12" s="5" t="s">
        <v>16</v>
      </c>
      <c r="B12" s="6">
        <v>64015.0</v>
      </c>
      <c r="C12" s="6">
        <v>66896.0</v>
      </c>
      <c r="D12" s="6">
        <f t="shared" si="1"/>
        <v>130911</v>
      </c>
    </row>
    <row r="13" ht="14.25" customHeight="1">
      <c r="A13" s="5" t="s">
        <v>17</v>
      </c>
      <c r="B13" s="6">
        <v>55857.0</v>
      </c>
      <c r="C13" s="6">
        <v>59760.0</v>
      </c>
      <c r="D13" s="6">
        <f t="shared" si="1"/>
        <v>115617</v>
      </c>
    </row>
    <row r="14" ht="14.25" customHeight="1">
      <c r="A14" s="5" t="s">
        <v>18</v>
      </c>
      <c r="B14" s="6">
        <v>48110.0</v>
      </c>
      <c r="C14" s="6">
        <v>53216.0</v>
      </c>
      <c r="D14" s="6">
        <f t="shared" si="1"/>
        <v>101326</v>
      </c>
    </row>
    <row r="15" ht="14.25" customHeight="1">
      <c r="A15" s="5" t="s">
        <v>19</v>
      </c>
      <c r="B15" s="6">
        <v>39315.0</v>
      </c>
      <c r="C15" s="6">
        <v>44545.0</v>
      </c>
      <c r="D15" s="6">
        <f t="shared" si="1"/>
        <v>83860</v>
      </c>
    </row>
    <row r="16" ht="14.25" customHeight="1">
      <c r="A16" s="5" t="s">
        <v>20</v>
      </c>
      <c r="B16" s="6">
        <v>29897.0</v>
      </c>
      <c r="C16" s="6">
        <v>34122.0</v>
      </c>
      <c r="D16" s="6">
        <f t="shared" si="1"/>
        <v>64019</v>
      </c>
    </row>
    <row r="17" ht="14.25" customHeight="1">
      <c r="A17" s="5" t="s">
        <v>21</v>
      </c>
      <c r="B17" s="6">
        <v>18681.0</v>
      </c>
      <c r="C17" s="6">
        <v>22742.0</v>
      </c>
      <c r="D17" s="6">
        <f t="shared" si="1"/>
        <v>41423</v>
      </c>
    </row>
    <row r="18" ht="14.25" customHeight="1">
      <c r="A18" s="5" t="s">
        <v>22</v>
      </c>
      <c r="B18" s="6">
        <v>12493.0</v>
      </c>
      <c r="C18" s="6">
        <v>19248.0</v>
      </c>
      <c r="D18" s="6">
        <f t="shared" si="1"/>
        <v>31741</v>
      </c>
    </row>
    <row r="19" ht="14.25" customHeight="1">
      <c r="A19" s="15" t="s">
        <v>23</v>
      </c>
      <c r="B19" s="16">
        <f t="shared" ref="B19:D19" si="2">SUM(B3:B18)</f>
        <v>845177</v>
      </c>
      <c r="C19" s="16">
        <f t="shared" si="2"/>
        <v>863656</v>
      </c>
      <c r="D19" s="16">
        <f t="shared" si="2"/>
        <v>1708833</v>
      </c>
      <c r="E19" s="35"/>
    </row>
    <row r="20" ht="14.25" customHeight="1">
      <c r="A20" s="17" t="s">
        <v>40</v>
      </c>
    </row>
    <row r="21" ht="14.25" customHeight="1"/>
    <row r="22" ht="14.25" customHeight="1">
      <c r="A22" s="18" t="s">
        <v>25</v>
      </c>
    </row>
    <row r="23" ht="14.25" customHeight="1"/>
    <row r="24" ht="14.25" customHeight="1">
      <c r="A24" s="19"/>
      <c r="B24" s="20" t="s">
        <v>26</v>
      </c>
      <c r="C24" s="20" t="s">
        <v>27</v>
      </c>
    </row>
    <row r="25" ht="14.25" customHeight="1">
      <c r="A25" s="20" t="s">
        <v>28</v>
      </c>
      <c r="B25" s="21">
        <f>sum(D3:D5)</f>
        <v>356758</v>
      </c>
      <c r="C25" s="22">
        <f>B25/B28*100</f>
        <v>20.87728877</v>
      </c>
    </row>
    <row r="26" ht="14.25" customHeight="1">
      <c r="A26" s="20" t="s">
        <v>29</v>
      </c>
      <c r="B26" s="21">
        <f>sum(D6:D15)</f>
        <v>1214892</v>
      </c>
      <c r="C26" s="22">
        <f>B26/B28*100</f>
        <v>71.0948349</v>
      </c>
    </row>
    <row r="27" ht="14.25" customHeight="1">
      <c r="A27" s="20" t="s">
        <v>30</v>
      </c>
      <c r="B27" s="21">
        <f>sum(D16:D18)</f>
        <v>137183</v>
      </c>
      <c r="C27" s="22">
        <f>B27/B28*100</f>
        <v>8.027876334</v>
      </c>
    </row>
    <row r="28" ht="14.25" customHeight="1">
      <c r="A28" s="19"/>
      <c r="B28" s="21">
        <f>SUM(B25:B27)</f>
        <v>1708833</v>
      </c>
      <c r="C28" s="19"/>
    </row>
    <row r="29" ht="14.25" customHeight="1"/>
    <row r="30" ht="14.25" customHeight="1">
      <c r="A30" s="23" t="s">
        <v>31</v>
      </c>
    </row>
    <row r="31" ht="14.25" customHeight="1">
      <c r="A31" s="23" t="s">
        <v>32</v>
      </c>
    </row>
    <row r="32" ht="14.25" customHeight="1">
      <c r="A32" s="23" t="s">
        <v>33</v>
      </c>
    </row>
    <row r="33" ht="14.25" customHeight="1">
      <c r="A33" s="23" t="s">
        <v>34</v>
      </c>
    </row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8.86"/>
    <col customWidth="1" min="3" max="3" width="12.29"/>
    <col customWidth="1" min="4" max="4" width="10.0"/>
    <col customWidth="1" min="5" max="5" width="13.0"/>
  </cols>
  <sheetData>
    <row r="1" ht="42.0" customHeight="1">
      <c r="A1" s="1" t="s">
        <v>0</v>
      </c>
      <c r="B1" s="2"/>
      <c r="C1" s="2"/>
      <c r="D1" s="3"/>
      <c r="E1" s="36"/>
    </row>
    <row r="2">
      <c r="A2" s="4" t="s">
        <v>1</v>
      </c>
      <c r="B2" s="37" t="s">
        <v>2</v>
      </c>
      <c r="C2" s="37" t="s">
        <v>3</v>
      </c>
      <c r="D2" s="37" t="s">
        <v>41</v>
      </c>
    </row>
    <row r="3">
      <c r="A3" s="5" t="s">
        <v>5</v>
      </c>
      <c r="B3" s="38">
        <v>58107.0</v>
      </c>
      <c r="C3" s="38">
        <v>55817.0</v>
      </c>
      <c r="D3" s="38">
        <v>113924.0</v>
      </c>
    </row>
    <row r="4">
      <c r="A4" s="7" t="s">
        <v>6</v>
      </c>
      <c r="B4" s="38">
        <v>60107.0</v>
      </c>
      <c r="C4" s="38">
        <v>57108.0</v>
      </c>
      <c r="D4" s="38">
        <v>117215.0</v>
      </c>
    </row>
    <row r="5">
      <c r="A5" s="8" t="s">
        <v>7</v>
      </c>
      <c r="B5" s="38">
        <v>63281.0</v>
      </c>
      <c r="C5" s="38">
        <v>59945.0</v>
      </c>
      <c r="D5" s="38">
        <v>123226.0</v>
      </c>
    </row>
    <row r="6">
      <c r="A6" s="8" t="s">
        <v>8</v>
      </c>
      <c r="B6" s="38">
        <v>65455.0</v>
      </c>
      <c r="C6" s="38">
        <v>61718.0</v>
      </c>
      <c r="D6" s="38">
        <v>127173.0</v>
      </c>
    </row>
    <row r="7">
      <c r="A7" s="8" t="s">
        <v>10</v>
      </c>
      <c r="B7" s="38">
        <v>66912.0</v>
      </c>
      <c r="C7" s="38">
        <v>63570.0</v>
      </c>
      <c r="D7" s="38">
        <v>130482.0</v>
      </c>
    </row>
    <row r="8">
      <c r="A8" s="8" t="s">
        <v>11</v>
      </c>
      <c r="B8" s="38">
        <v>64368.0</v>
      </c>
      <c r="C8" s="38">
        <v>62697.0</v>
      </c>
      <c r="D8" s="38">
        <v>127065.0</v>
      </c>
    </row>
    <row r="9">
      <c r="A9" s="8" t="s">
        <v>12</v>
      </c>
      <c r="B9" s="38">
        <v>64606.0</v>
      </c>
      <c r="C9" s="38">
        <v>65073.0</v>
      </c>
      <c r="D9" s="38">
        <v>129679.0</v>
      </c>
    </row>
    <row r="10">
      <c r="A10" s="8" t="s">
        <v>13</v>
      </c>
      <c r="B10" s="38">
        <v>65603.0</v>
      </c>
      <c r="C10" s="38">
        <v>66556.0</v>
      </c>
      <c r="D10" s="38">
        <v>132159.0</v>
      </c>
    </row>
    <row r="11">
      <c r="A11" s="5" t="s">
        <v>15</v>
      </c>
      <c r="B11" s="38">
        <v>66326.0</v>
      </c>
      <c r="C11" s="38">
        <v>67962.0</v>
      </c>
      <c r="D11" s="38">
        <v>134288.0</v>
      </c>
    </row>
    <row r="12">
      <c r="A12" s="5" t="s">
        <v>16</v>
      </c>
      <c r="B12" s="38">
        <v>64953.0</v>
      </c>
      <c r="C12" s="38">
        <v>67741.0</v>
      </c>
      <c r="D12" s="38">
        <v>132694.0</v>
      </c>
    </row>
    <row r="13">
      <c r="A13" s="5" t="s">
        <v>17</v>
      </c>
      <c r="B13" s="38">
        <v>57135.0</v>
      </c>
      <c r="C13" s="38">
        <v>60932.0</v>
      </c>
      <c r="D13" s="38">
        <v>118067.0</v>
      </c>
    </row>
    <row r="14">
      <c r="A14" s="5" t="s">
        <v>18</v>
      </c>
      <c r="B14" s="38">
        <v>49318.0</v>
      </c>
      <c r="C14" s="38">
        <v>54408.0</v>
      </c>
      <c r="D14" s="38">
        <v>103726.0</v>
      </c>
    </row>
    <row r="15">
      <c r="A15" s="5" t="s">
        <v>19</v>
      </c>
      <c r="B15" s="38">
        <v>40437.0</v>
      </c>
      <c r="C15" s="38">
        <v>46088.0</v>
      </c>
      <c r="D15" s="38">
        <v>86525.0</v>
      </c>
    </row>
    <row r="16">
      <c r="A16" s="39" t="s">
        <v>20</v>
      </c>
      <c r="B16" s="38">
        <v>31061.0</v>
      </c>
      <c r="C16" s="38">
        <v>35622.0</v>
      </c>
      <c r="D16" s="38">
        <v>66683.0</v>
      </c>
    </row>
    <row r="17">
      <c r="A17" s="5" t="s">
        <v>21</v>
      </c>
      <c r="B17" s="38">
        <v>20180.0</v>
      </c>
      <c r="C17" s="38">
        <v>24668.0</v>
      </c>
      <c r="D17" s="38">
        <v>44848.0</v>
      </c>
    </row>
    <row r="18">
      <c r="A18" s="5" t="s">
        <v>22</v>
      </c>
      <c r="B18" s="38">
        <v>13788.0</v>
      </c>
      <c r="C18" s="38">
        <v>20879.0</v>
      </c>
      <c r="D18" s="38">
        <v>34667.0</v>
      </c>
    </row>
    <row r="19">
      <c r="A19" s="40" t="s">
        <v>23</v>
      </c>
      <c r="B19" s="38">
        <v>851637.0</v>
      </c>
      <c r="C19" s="38">
        <v>870784.0</v>
      </c>
      <c r="D19" s="38">
        <v>1722421.0</v>
      </c>
    </row>
    <row r="22">
      <c r="A22" s="18" t="s">
        <v>25</v>
      </c>
    </row>
    <row r="24">
      <c r="A24" s="19"/>
      <c r="B24" s="20" t="s">
        <v>26</v>
      </c>
      <c r="C24" s="20" t="s">
        <v>42</v>
      </c>
    </row>
    <row r="25">
      <c r="A25" s="20" t="s">
        <v>28</v>
      </c>
      <c r="B25" s="21">
        <f>sum(D3:D5)</f>
        <v>354365</v>
      </c>
      <c r="C25" s="22">
        <f>B25/B28*100</f>
        <v>20.57365766</v>
      </c>
    </row>
    <row r="26">
      <c r="A26" s="20" t="s">
        <v>29</v>
      </c>
      <c r="B26" s="21">
        <f>sum(D6:D15)</f>
        <v>1221858</v>
      </c>
      <c r="C26" s="22">
        <f>B26/B28*100</f>
        <v>70.93840588</v>
      </c>
    </row>
    <row r="27">
      <c r="A27" s="20" t="s">
        <v>30</v>
      </c>
      <c r="B27" s="21">
        <f>sum(D16:D18)</f>
        <v>146198</v>
      </c>
      <c r="C27" s="22">
        <f>(B27/B28)*100</f>
        <v>8.487936457</v>
      </c>
    </row>
    <row r="28">
      <c r="A28" s="19"/>
      <c r="B28" s="21">
        <f>SUM(B25:B27)</f>
        <v>1722421</v>
      </c>
      <c r="C28" s="41"/>
    </row>
    <row r="30">
      <c r="A30" s="23" t="s">
        <v>31</v>
      </c>
    </row>
    <row r="31">
      <c r="A31" s="23" t="s">
        <v>32</v>
      </c>
    </row>
    <row r="32">
      <c r="A32" s="23" t="s">
        <v>33</v>
      </c>
    </row>
    <row r="33">
      <c r="A33" s="23" t="s">
        <v>34</v>
      </c>
    </row>
  </sheetData>
  <mergeCells count="1">
    <mergeCell ref="A1:D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2025-04-11T01:28:31Z</dcterms:created>
  <dc:creator>bayu ardiansyah</dc:creator>
</cp:coreProperties>
</file>