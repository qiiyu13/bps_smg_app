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</sheets>
  <definedNames/>
  <calcPr/>
  <extLst>
    <ext uri="GoogleSheetsCustomDataVersion2">
      <go:sheetsCustomData xmlns:go="http://customooxmlschemas.google.com/" r:id="rId10" roundtripDataChecksum="RIpVqmpcoM/mrzW9hlX646xQuNcGQ9BjRAcveSyXDXA="/>
    </ext>
  </extLst>
</workbook>
</file>

<file path=xl/sharedStrings.xml><?xml version="1.0" encoding="utf-8"?>
<sst xmlns="http://schemas.openxmlformats.org/spreadsheetml/2006/main" count="167" uniqueCount="32">
  <si>
    <t>Penduduk Kota Semarang Menurut Kecamatan
(Hasil Proyeksi Penduduk)</t>
  </si>
  <si>
    <t>Luas Wilayah</t>
  </si>
  <si>
    <t xml:space="preserve">Kepadatan </t>
  </si>
  <si>
    <t>No</t>
  </si>
  <si>
    <t>Kecamatan</t>
  </si>
  <si>
    <t>Laki Laki</t>
  </si>
  <si>
    <t>Perempuan</t>
  </si>
  <si>
    <t>Laki Laki +Perempuan</t>
  </si>
  <si>
    <t>Mijen</t>
  </si>
  <si>
    <t>Gunungpati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</si>
  <si>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</si>
  <si>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</si>
  <si>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</si>
  <si>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</si>
  <si>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</si>
  <si>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</si>
  <si>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</si>
  <si>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</si>
  <si>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</si>
  <si>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</si>
  <si>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</si>
  <si>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</si>
  <si>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</si>
  <si>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</si>
  <si>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Kota Semarang</t>
  </si>
  <si>
    <t>Sumber: BPS, Sensus Penduduk dan Proyeksi Penduduk</t>
  </si>
  <si>
    <t>Laju Pertumbuhan</t>
  </si>
  <si>
    <t>Indikator Yang dibutuhkan</t>
  </si>
  <si>
    <t>Total Penduduk</t>
  </si>
  <si>
    <t>Kepadatan'</t>
  </si>
  <si>
    <t>Jumlah Laki-Laki</t>
  </si>
  <si>
    <t>Jumlah Perempuan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</si>
</sst>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color rgb="FF00FF00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5" fillId="2" fontId="3" numFmtId="3" xfId="0" applyAlignment="1" applyBorder="1" applyFont="1" applyNumberFormat="1">
      <alignment horizontal="right" vertical="center"/>
    </xf>
    <xf borderId="5" fillId="2" fontId="3" numFmtId="3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5" fillId="2" fontId="1" numFmtId="3" xfId="0" applyAlignment="1" applyBorder="1" applyFont="1" applyNumberFormat="1">
      <alignment horizontal="right" vertical="center"/>
    </xf>
    <xf borderId="5" fillId="2" fontId="1" numFmtId="3" xfId="0" applyAlignment="1" applyBorder="1" applyFont="1" applyNumberFormat="1">
      <alignment horizontal="center" vertical="center"/>
    </xf>
    <xf borderId="0" fillId="0" fontId="4" numFmtId="0" xfId="0" applyFont="1"/>
    <xf borderId="5" fillId="0" fontId="5" numFmtId="4" xfId="0" applyBorder="1" applyFont="1" applyNumberFormat="1"/>
    <xf borderId="5" fillId="2" fontId="3" numFmtId="4" xfId="0" applyAlignment="1" applyBorder="1" applyFont="1" applyNumberFormat="1">
      <alignment horizontal="center" vertical="center"/>
    </xf>
    <xf borderId="5" fillId="2" fontId="1" numFmtId="4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horizontal="right" vertical="bottom"/>
    </xf>
    <xf borderId="0" fillId="0" fontId="5" numFmtId="0" xfId="0" applyFont="1"/>
    <xf borderId="5" fillId="0" fontId="7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43"/>
    <col customWidth="1" min="5" max="5" width="20.57"/>
    <col customWidth="1" min="6" max="6" width="10.29"/>
    <col customWidth="1" min="7" max="7" width="15.57"/>
    <col customWidth="1" min="8" max="8" width="19.43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6"/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</row>
    <row r="3" ht="14.25" customHeight="1">
      <c r="A3" s="10">
        <v>1.0</v>
      </c>
      <c r="B3" s="11" t="s">
        <v>8</v>
      </c>
      <c r="C3" s="12">
        <v>40520.0</v>
      </c>
      <c r="D3" s="12">
        <v>40386.0</v>
      </c>
      <c r="E3" s="12">
        <f t="shared" ref="E3:E18" si="1">C3+D3</f>
        <v>80906</v>
      </c>
      <c r="F3" s="13">
        <v>57.55</v>
      </c>
      <c r="G3" s="13">
        <f t="shared" ref="G3:G19" si="2">E3/F3</f>
        <v>1405.838401</v>
      </c>
    </row>
    <row r="4" ht="14.25" customHeight="1">
      <c r="A4" s="10">
        <v>2.0</v>
      </c>
      <c r="B4" s="11" t="s">
        <v>9</v>
      </c>
      <c r="C4" s="12">
        <v>49023.0</v>
      </c>
      <c r="D4" s="12">
        <v>49000.0</v>
      </c>
      <c r="E4" s="12">
        <f t="shared" si="1"/>
        <v>98023</v>
      </c>
      <c r="F4" s="13">
        <v>54.11</v>
      </c>
      <c r="G4" s="13">
        <f t="shared" si="2"/>
        <v>1811.550545</v>
      </c>
    </row>
    <row r="5" ht="14.25" customHeight="1">
      <c r="A5" s="10">
        <v>3.0</v>
      </c>
      <c r="B5" s="11" t="s">
        <v>10</v>
      </c>
      <c r="C5" s="12">
        <v>70074.0</v>
      </c>
      <c r="D5" s="12">
        <v>72002.0</v>
      </c>
      <c r="E5" s="12">
        <f t="shared" si="1"/>
        <v>142076</v>
      </c>
      <c r="F5" s="13">
        <v>25.69</v>
      </c>
      <c r="G5" s="13">
        <f t="shared" si="2"/>
        <v>5530.400934</v>
      </c>
    </row>
    <row r="6" ht="14.25" customHeight="1">
      <c r="A6" s="10">
        <v>4.0</v>
      </c>
      <c r="B6" s="11" t="s">
        <v>11</v>
      </c>
      <c r="C6" s="12">
        <v>27592.0</v>
      </c>
      <c r="D6" s="12">
        <v>28640.0</v>
      </c>
      <c r="E6" s="12">
        <f t="shared" si="1"/>
        <v>56232</v>
      </c>
      <c r="F6" s="13">
        <v>9.07</v>
      </c>
      <c r="G6" s="13">
        <f t="shared" si="2"/>
        <v>6199.779493</v>
      </c>
    </row>
    <row r="7" ht="14.25" customHeight="1">
      <c r="A7" s="10">
        <v>5.0</v>
      </c>
      <c r="B7" s="11" t="s">
        <v>12</v>
      </c>
      <c r="C7" s="12">
        <v>30168.0</v>
      </c>
      <c r="D7" s="12">
        <v>31862.0</v>
      </c>
      <c r="E7" s="12">
        <f t="shared" si="1"/>
        <v>62030</v>
      </c>
      <c r="F7" s="13">
        <v>5.93</v>
      </c>
      <c r="G7" s="13">
        <f t="shared" si="2"/>
        <v>10460.37099</v>
      </c>
    </row>
    <row r="8" ht="14.25" customHeight="1">
      <c r="A8" s="10">
        <v>6.0</v>
      </c>
      <c r="B8" s="11" t="s">
        <v>13</v>
      </c>
      <c r="C8" s="12">
        <v>37232.0</v>
      </c>
      <c r="D8" s="12">
        <v>38224.0</v>
      </c>
      <c r="E8" s="12">
        <f t="shared" si="1"/>
        <v>75456</v>
      </c>
      <c r="F8" s="13">
        <v>6.54</v>
      </c>
      <c r="G8" s="13">
        <f t="shared" si="2"/>
        <v>11537.61468</v>
      </c>
    </row>
    <row r="9" ht="14.25" customHeight="1">
      <c r="A9" s="10">
        <v>7.0</v>
      </c>
      <c r="B9" s="11" t="s">
        <v>14</v>
      </c>
      <c r="C9" s="12">
        <v>94453.0</v>
      </c>
      <c r="D9" s="12">
        <v>95227.0</v>
      </c>
      <c r="E9" s="12">
        <f t="shared" si="1"/>
        <v>189680</v>
      </c>
      <c r="F9" s="13">
        <v>44.2</v>
      </c>
      <c r="G9" s="13">
        <f t="shared" si="2"/>
        <v>4291.402715</v>
      </c>
    </row>
    <row r="10" ht="14.25" customHeight="1">
      <c r="A10" s="10">
        <v>8.0</v>
      </c>
      <c r="B10" s="11" t="s">
        <v>15</v>
      </c>
      <c r="C10" s="12">
        <v>95791.0</v>
      </c>
      <c r="D10" s="12">
        <v>97360.0</v>
      </c>
      <c r="E10" s="12">
        <f t="shared" si="1"/>
        <v>193151</v>
      </c>
      <c r="F10" s="13">
        <v>20.72</v>
      </c>
      <c r="G10" s="13">
        <f t="shared" si="2"/>
        <v>9321.959459</v>
      </c>
    </row>
    <row r="11" ht="14.25" customHeight="1">
      <c r="A11" s="10">
        <v>9.0</v>
      </c>
      <c r="B11" s="11" t="s">
        <v>16</v>
      </c>
      <c r="C11" s="12">
        <v>61884.0</v>
      </c>
      <c r="D11" s="12">
        <v>61426.0</v>
      </c>
      <c r="E11" s="12">
        <f t="shared" si="1"/>
        <v>123310</v>
      </c>
      <c r="F11" s="13">
        <v>27.39</v>
      </c>
      <c r="G11" s="13">
        <f t="shared" si="2"/>
        <v>4502.008032</v>
      </c>
    </row>
    <row r="12" ht="14.25" customHeight="1">
      <c r="A12" s="10">
        <v>10.0</v>
      </c>
      <c r="B12" s="11" t="s">
        <v>17</v>
      </c>
      <c r="C12" s="12">
        <v>34912.0</v>
      </c>
      <c r="D12" s="12">
        <v>35349.0</v>
      </c>
      <c r="E12" s="12">
        <f t="shared" si="1"/>
        <v>70261</v>
      </c>
      <c r="F12" s="13">
        <v>6.18</v>
      </c>
      <c r="G12" s="13">
        <f t="shared" si="2"/>
        <v>11369.09385</v>
      </c>
    </row>
    <row r="13" ht="14.25" customHeight="1">
      <c r="A13" s="10">
        <v>11.0</v>
      </c>
      <c r="B13" s="11" t="s">
        <v>18</v>
      </c>
      <c r="C13" s="12">
        <v>32181.0</v>
      </c>
      <c r="D13" s="12">
        <v>34121.0</v>
      </c>
      <c r="E13" s="12">
        <f t="shared" si="1"/>
        <v>66302</v>
      </c>
      <c r="F13" s="13">
        <v>7.7</v>
      </c>
      <c r="G13" s="13">
        <f t="shared" si="2"/>
        <v>8610.649351</v>
      </c>
    </row>
    <row r="14" ht="14.25" customHeight="1">
      <c r="A14" s="10">
        <v>12.0</v>
      </c>
      <c r="B14" s="11" t="s">
        <v>19</v>
      </c>
      <c r="C14" s="12">
        <v>58051.0</v>
      </c>
      <c r="D14" s="12">
        <v>59554.0</v>
      </c>
      <c r="E14" s="12">
        <f t="shared" si="1"/>
        <v>117605</v>
      </c>
      <c r="F14" s="13">
        <v>10.97</v>
      </c>
      <c r="G14" s="13">
        <f t="shared" si="2"/>
        <v>10720.60164</v>
      </c>
    </row>
    <row r="15" ht="14.25" customHeight="1">
      <c r="A15" s="10">
        <v>13.0</v>
      </c>
      <c r="B15" s="11" t="s">
        <v>20</v>
      </c>
      <c r="C15" s="12">
        <v>26373.0</v>
      </c>
      <c r="D15" s="12">
        <v>28691.0</v>
      </c>
      <c r="E15" s="12">
        <f t="shared" si="1"/>
        <v>55064</v>
      </c>
      <c r="F15" s="13">
        <v>6.14</v>
      </c>
      <c r="G15" s="13">
        <f t="shared" si="2"/>
        <v>8968.078176</v>
      </c>
    </row>
    <row r="16" ht="14.25" customHeight="1">
      <c r="A16" s="10">
        <v>14.0</v>
      </c>
      <c r="B16" s="11" t="s">
        <v>21</v>
      </c>
      <c r="C16" s="12">
        <v>73130.0</v>
      </c>
      <c r="D16" s="12">
        <v>75749.0</v>
      </c>
      <c r="E16" s="12">
        <f t="shared" si="1"/>
        <v>148879</v>
      </c>
      <c r="F16" s="13">
        <v>21.74</v>
      </c>
      <c r="G16" s="13">
        <f t="shared" si="2"/>
        <v>6848.160074</v>
      </c>
    </row>
    <row r="17" ht="14.25" customHeight="1">
      <c r="A17" s="10">
        <v>15.0</v>
      </c>
      <c r="B17" s="11" t="s">
        <v>22</v>
      </c>
      <c r="C17" s="12">
        <v>16457.0</v>
      </c>
      <c r="D17" s="12">
        <v>16365.0</v>
      </c>
      <c r="E17" s="12">
        <f t="shared" si="1"/>
        <v>32822</v>
      </c>
      <c r="F17" s="13">
        <v>31.78</v>
      </c>
      <c r="G17" s="13">
        <f t="shared" si="2"/>
        <v>1032.787917</v>
      </c>
    </row>
    <row r="18" ht="14.25" customHeight="1">
      <c r="A18" s="10">
        <v>16.0</v>
      </c>
      <c r="B18" s="11" t="s">
        <v>23</v>
      </c>
      <c r="C18" s="12">
        <v>70600.0</v>
      </c>
      <c r="D18" s="12">
        <v>71127.0</v>
      </c>
      <c r="E18" s="12">
        <f t="shared" si="1"/>
        <v>141727</v>
      </c>
      <c r="F18" s="13">
        <v>37.99</v>
      </c>
      <c r="G18" s="13">
        <f t="shared" si="2"/>
        <v>3730.639642</v>
      </c>
    </row>
    <row r="19" ht="14.25" customHeight="1">
      <c r="A19" s="14" t="s">
        <v>24</v>
      </c>
      <c r="B19" s="3"/>
      <c r="C19" s="15">
        <f t="shared" ref="C19:E19" si="3">SUM(C3:C18)</f>
        <v>818441</v>
      </c>
      <c r="D19" s="15">
        <f t="shared" si="3"/>
        <v>835083</v>
      </c>
      <c r="E19" s="15">
        <f t="shared" si="3"/>
        <v>1653524</v>
      </c>
      <c r="F19" s="16">
        <v>373.7</v>
      </c>
      <c r="G19" s="16">
        <f t="shared" si="2"/>
        <v>4424.73642</v>
      </c>
    </row>
    <row r="20" ht="14.25" customHeight="1">
      <c r="A20" s="17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conditionalFormatting sqref="E3:E18">
    <cfRule type="notContainsBlanks" dxfId="0" priority="1">
      <formula>LEN(TRIM(E3))&gt;0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14"/>
    <col customWidth="1" min="5" max="5" width="21.14"/>
    <col customWidth="1" min="6" max="6" width="8.71"/>
    <col customWidth="1" min="7" max="7" width="13.29"/>
    <col customWidth="1" min="8" max="8" width="15.57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4" t="s">
        <v>26</v>
      </c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  <c r="H2" s="9"/>
    </row>
    <row r="3" ht="14.25" customHeight="1">
      <c r="A3" s="10">
        <v>1.0</v>
      </c>
      <c r="B3" s="11" t="s">
        <v>8</v>
      </c>
      <c r="C3" s="12">
        <v>41695.0</v>
      </c>
      <c r="D3" s="12">
        <v>41626.0</v>
      </c>
      <c r="E3" s="12">
        <f t="shared" ref="E3:E18" si="1">C3+D3</f>
        <v>83321</v>
      </c>
      <c r="F3" s="13">
        <v>57.55</v>
      </c>
      <c r="G3" s="13">
        <f t="shared" ref="G3:G19" si="2">E3/F3</f>
        <v>1447.801911</v>
      </c>
      <c r="H3" s="18">
        <f>(E3-'2020'!E3)/'2020'!E3*100</f>
        <v>2.984945492</v>
      </c>
    </row>
    <row r="4" ht="14.25" customHeight="1">
      <c r="A4" s="10">
        <v>2.0</v>
      </c>
      <c r="B4" s="11" t="s">
        <v>9</v>
      </c>
      <c r="C4" s="12">
        <v>49179.0</v>
      </c>
      <c r="D4" s="12">
        <v>49164.0</v>
      </c>
      <c r="E4" s="12">
        <f t="shared" si="1"/>
        <v>98343</v>
      </c>
      <c r="F4" s="13">
        <v>54.11</v>
      </c>
      <c r="G4" s="13">
        <f t="shared" si="2"/>
        <v>1817.464424</v>
      </c>
      <c r="H4" s="18">
        <f>(E4-'2020'!E4)/'2020'!E4*100</f>
        <v>0.3264539955</v>
      </c>
    </row>
    <row r="5" ht="14.25" customHeight="1">
      <c r="A5" s="10">
        <v>3.0</v>
      </c>
      <c r="B5" s="11" t="s">
        <v>10</v>
      </c>
      <c r="C5" s="12">
        <v>69891.0</v>
      </c>
      <c r="D5" s="12">
        <v>71798.0</v>
      </c>
      <c r="E5" s="12">
        <f t="shared" si="1"/>
        <v>141689</v>
      </c>
      <c r="F5" s="13">
        <v>25.69</v>
      </c>
      <c r="G5" s="13">
        <f t="shared" si="2"/>
        <v>5515.336707</v>
      </c>
      <c r="H5" s="18">
        <f>(E5-'2020'!E5)/'2020'!E5*100</f>
        <v>-0.2723894254</v>
      </c>
    </row>
    <row r="6" ht="14.25" customHeight="1">
      <c r="A6" s="10">
        <v>4.0</v>
      </c>
      <c r="B6" s="11" t="s">
        <v>11</v>
      </c>
      <c r="C6" s="12">
        <v>27396.0</v>
      </c>
      <c r="D6" s="12">
        <v>28461.0</v>
      </c>
      <c r="E6" s="12">
        <f t="shared" si="1"/>
        <v>55857</v>
      </c>
      <c r="F6" s="13">
        <v>9.07</v>
      </c>
      <c r="G6" s="13">
        <f t="shared" si="2"/>
        <v>6158.434399</v>
      </c>
      <c r="H6" s="18">
        <f>(E6-'2020'!E6)/'2020'!E6*100</f>
        <v>-0.6668800683</v>
      </c>
    </row>
    <row r="7" ht="14.25" customHeight="1">
      <c r="A7" s="10">
        <v>5.0</v>
      </c>
      <c r="B7" s="11" t="s">
        <v>12</v>
      </c>
      <c r="C7" s="12">
        <v>29954.0</v>
      </c>
      <c r="D7" s="12">
        <v>31662.0</v>
      </c>
      <c r="E7" s="12">
        <f t="shared" si="1"/>
        <v>61616</v>
      </c>
      <c r="F7" s="13">
        <v>5.93</v>
      </c>
      <c r="G7" s="13">
        <f t="shared" si="2"/>
        <v>10390.55649</v>
      </c>
      <c r="H7" s="18">
        <f>(E7-'2020'!E7)/'2020'!E7*100</f>
        <v>-0.6674189908</v>
      </c>
    </row>
    <row r="8" ht="14.25" customHeight="1">
      <c r="A8" s="10">
        <v>6.0</v>
      </c>
      <c r="B8" s="11" t="s">
        <v>13</v>
      </c>
      <c r="C8" s="12">
        <v>36967.0</v>
      </c>
      <c r="D8" s="12">
        <v>37985.0</v>
      </c>
      <c r="E8" s="12">
        <f t="shared" si="1"/>
        <v>74952</v>
      </c>
      <c r="F8" s="13">
        <v>6.54</v>
      </c>
      <c r="G8" s="13">
        <f t="shared" si="2"/>
        <v>11460.55046</v>
      </c>
      <c r="H8" s="18">
        <f>(E8-'2020'!E8)/'2020'!E8*100</f>
        <v>-0.6679389313</v>
      </c>
    </row>
    <row r="9" ht="14.25" customHeight="1">
      <c r="A9" s="10">
        <v>7.0</v>
      </c>
      <c r="B9" s="11" t="s">
        <v>14</v>
      </c>
      <c r="C9" s="12">
        <v>95369.0</v>
      </c>
      <c r="D9" s="12">
        <v>96191.0</v>
      </c>
      <c r="E9" s="12">
        <f t="shared" si="1"/>
        <v>191560</v>
      </c>
      <c r="F9" s="13">
        <v>44.2</v>
      </c>
      <c r="G9" s="13">
        <f t="shared" si="2"/>
        <v>4333.936652</v>
      </c>
      <c r="H9" s="18">
        <f>(E9-'2020'!E9)/'2020'!E9*100</f>
        <v>0.9911429776</v>
      </c>
    </row>
    <row r="10" ht="14.25" customHeight="1">
      <c r="A10" s="10">
        <v>8.0</v>
      </c>
      <c r="B10" s="11" t="s">
        <v>15</v>
      </c>
      <c r="C10" s="12">
        <v>95725.0</v>
      </c>
      <c r="D10" s="12">
        <v>97403.0</v>
      </c>
      <c r="E10" s="12">
        <f t="shared" si="1"/>
        <v>193128</v>
      </c>
      <c r="F10" s="13">
        <v>20.72</v>
      </c>
      <c r="G10" s="13">
        <f t="shared" si="2"/>
        <v>9320.849421</v>
      </c>
      <c r="H10" s="18">
        <f>(E10-'2020'!E10)/'2020'!E10*100</f>
        <v>-0.01190778199</v>
      </c>
    </row>
    <row r="11" ht="14.25" customHeight="1">
      <c r="A11" s="10">
        <v>9.0</v>
      </c>
      <c r="B11" s="11" t="s">
        <v>16</v>
      </c>
      <c r="C11" s="12">
        <v>63182.0</v>
      </c>
      <c r="D11" s="12">
        <v>62785.0</v>
      </c>
      <c r="E11" s="12">
        <f t="shared" si="1"/>
        <v>125967</v>
      </c>
      <c r="F11" s="13">
        <v>27.39</v>
      </c>
      <c r="G11" s="13">
        <f t="shared" si="2"/>
        <v>4599.014239</v>
      </c>
      <c r="H11" s="18">
        <f>(E11-'2020'!E11)/'2020'!E11*100</f>
        <v>2.154731976</v>
      </c>
    </row>
    <row r="12" ht="14.25" customHeight="1">
      <c r="A12" s="10">
        <v>10.0</v>
      </c>
      <c r="B12" s="11" t="s">
        <v>17</v>
      </c>
      <c r="C12" s="12">
        <v>34664.0</v>
      </c>
      <c r="D12" s="12">
        <v>35128.0</v>
      </c>
      <c r="E12" s="12">
        <f t="shared" si="1"/>
        <v>69792</v>
      </c>
      <c r="F12" s="13">
        <v>6.18</v>
      </c>
      <c r="G12" s="13">
        <f t="shared" si="2"/>
        <v>11293.20388</v>
      </c>
      <c r="H12" s="18">
        <f>(E12-'2020'!E12)/'2020'!E12*100</f>
        <v>-0.667511137</v>
      </c>
    </row>
    <row r="13" ht="14.25" customHeight="1">
      <c r="A13" s="10">
        <v>11.0</v>
      </c>
      <c r="B13" s="11" t="s">
        <v>18</v>
      </c>
      <c r="C13" s="12">
        <v>31952.0</v>
      </c>
      <c r="D13" s="12">
        <v>33907.0</v>
      </c>
      <c r="E13" s="12">
        <f t="shared" si="1"/>
        <v>65859</v>
      </c>
      <c r="F13" s="13">
        <v>7.7</v>
      </c>
      <c r="G13" s="13">
        <f t="shared" si="2"/>
        <v>8553.116883</v>
      </c>
      <c r="H13" s="18">
        <f>(E13-'2020'!E13)/'2020'!E13*100</f>
        <v>-0.6681548068</v>
      </c>
    </row>
    <row r="14" ht="14.25" customHeight="1">
      <c r="A14" s="10">
        <v>12.0</v>
      </c>
      <c r="B14" s="11" t="s">
        <v>19</v>
      </c>
      <c r="C14" s="12">
        <v>57692.0</v>
      </c>
      <c r="D14" s="12">
        <v>59128.0</v>
      </c>
      <c r="E14" s="12">
        <f t="shared" si="1"/>
        <v>116820</v>
      </c>
      <c r="F14" s="13">
        <v>10.97</v>
      </c>
      <c r="G14" s="13">
        <f t="shared" si="2"/>
        <v>10649.04284</v>
      </c>
      <c r="H14" s="18">
        <f>(E14-'2020'!E14)/'2020'!E14*100</f>
        <v>-0.6674886272</v>
      </c>
    </row>
    <row r="15" ht="14.25" customHeight="1">
      <c r="A15" s="10">
        <v>13.0</v>
      </c>
      <c r="B15" s="11" t="s">
        <v>20</v>
      </c>
      <c r="C15" s="12">
        <v>26186.0</v>
      </c>
      <c r="D15" s="12">
        <v>28510.0</v>
      </c>
      <c r="E15" s="12">
        <f t="shared" si="1"/>
        <v>54696</v>
      </c>
      <c r="F15" s="13">
        <v>6.14</v>
      </c>
      <c r="G15" s="13">
        <f t="shared" si="2"/>
        <v>8908.143322</v>
      </c>
      <c r="H15" s="18">
        <f>(E15-'2020'!E15)/'2020'!E15*100</f>
        <v>-0.6683132355</v>
      </c>
    </row>
    <row r="16" ht="14.25" customHeight="1">
      <c r="A16" s="10">
        <v>14.0</v>
      </c>
      <c r="B16" s="11" t="s">
        <v>21</v>
      </c>
      <c r="C16" s="12">
        <v>72610.0</v>
      </c>
      <c r="D16" s="12">
        <v>75275.0</v>
      </c>
      <c r="E16" s="12">
        <f t="shared" si="1"/>
        <v>147885</v>
      </c>
      <c r="F16" s="13">
        <v>21.74</v>
      </c>
      <c r="G16" s="13">
        <f t="shared" si="2"/>
        <v>6802.437902</v>
      </c>
      <c r="H16" s="18">
        <f>(E16-'2020'!E16)/'2020'!E16*100</f>
        <v>-0.6676562846</v>
      </c>
    </row>
    <row r="17" ht="14.25" customHeight="1">
      <c r="A17" s="10">
        <v>15.0</v>
      </c>
      <c r="B17" s="11" t="s">
        <v>22</v>
      </c>
      <c r="C17" s="12">
        <v>16515.0</v>
      </c>
      <c r="D17" s="12">
        <v>16433.0</v>
      </c>
      <c r="E17" s="12">
        <f t="shared" si="1"/>
        <v>32948</v>
      </c>
      <c r="F17" s="13">
        <v>31.78</v>
      </c>
      <c r="G17" s="13">
        <f t="shared" si="2"/>
        <v>1036.752675</v>
      </c>
      <c r="H17" s="18">
        <f>(E17-'2020'!E17)/'2020'!E17*100</f>
        <v>0.383888855</v>
      </c>
    </row>
    <row r="18" ht="14.25" customHeight="1">
      <c r="A18" s="10">
        <v>16.0</v>
      </c>
      <c r="B18" s="11" t="s">
        <v>23</v>
      </c>
      <c r="C18" s="12">
        <v>70808.0</v>
      </c>
      <c r="D18" s="12">
        <v>71323.0</v>
      </c>
      <c r="E18" s="12">
        <f t="shared" si="1"/>
        <v>142131</v>
      </c>
      <c r="F18" s="13">
        <v>37.99</v>
      </c>
      <c r="G18" s="13">
        <f t="shared" si="2"/>
        <v>3741.274019</v>
      </c>
      <c r="H18" s="18">
        <f>(E18-'2020'!E18)/'2020'!E18*100</f>
        <v>0.2850550707</v>
      </c>
    </row>
    <row r="19" ht="14.25" customHeight="1">
      <c r="A19" s="14" t="s">
        <v>24</v>
      </c>
      <c r="B19" s="3"/>
      <c r="C19" s="15">
        <f t="shared" ref="C19:E19" si="3">SUM(C3:C18)</f>
        <v>819785</v>
      </c>
      <c r="D19" s="15">
        <f t="shared" si="3"/>
        <v>836779</v>
      </c>
      <c r="E19" s="15">
        <f t="shared" si="3"/>
        <v>1656564</v>
      </c>
      <c r="F19" s="16">
        <v>373.7</v>
      </c>
      <c r="G19" s="16">
        <f t="shared" si="2"/>
        <v>4432.871287</v>
      </c>
      <c r="H19" s="18">
        <f>(E19-'2020'!E19)/'2020'!E19*100</f>
        <v>0.1838497657</v>
      </c>
    </row>
    <row r="20" ht="14.25" customHeight="1">
      <c r="A20" s="17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2.14"/>
    <col customWidth="1" min="5" max="5" width="23.14"/>
    <col customWidth="1" min="6" max="6" width="8.71"/>
    <col customWidth="1" min="7" max="7" width="13.29"/>
    <col customWidth="1" min="8" max="8" width="13.71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4" t="s">
        <v>26</v>
      </c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  <c r="H2" s="9"/>
    </row>
    <row r="3" ht="14.25" customHeight="1">
      <c r="A3" s="10">
        <v>1.0</v>
      </c>
      <c r="B3" s="11" t="s">
        <v>8</v>
      </c>
      <c r="C3" s="12">
        <v>42908.0</v>
      </c>
      <c r="D3" s="12">
        <v>42910.0</v>
      </c>
      <c r="E3" s="12">
        <f t="shared" ref="E3:E18" si="1">C3+D3</f>
        <v>85818</v>
      </c>
      <c r="F3" s="13">
        <v>57.55</v>
      </c>
      <c r="G3" s="13">
        <f t="shared" ref="G3:G19" si="2">E3/F3</f>
        <v>1491.190269</v>
      </c>
      <c r="H3" s="18">
        <f>(E3-'2021'!E3)/'2021'!E3*100</f>
        <v>2.996843533</v>
      </c>
    </row>
    <row r="4" ht="14.25" customHeight="1">
      <c r="A4" s="10">
        <v>2.0</v>
      </c>
      <c r="B4" s="11" t="s">
        <v>9</v>
      </c>
      <c r="C4" s="12">
        <v>49341.0</v>
      </c>
      <c r="D4" s="12">
        <v>49333.0</v>
      </c>
      <c r="E4" s="12">
        <f t="shared" si="1"/>
        <v>98674</v>
      </c>
      <c r="F4" s="13">
        <v>54.11</v>
      </c>
      <c r="G4" s="13">
        <f t="shared" si="2"/>
        <v>1823.581593</v>
      </c>
      <c r="H4" s="18">
        <f>(E4-'2021'!E4)/'2021'!E4*100</f>
        <v>0.3365770823</v>
      </c>
    </row>
    <row r="5" ht="14.25" customHeight="1">
      <c r="A5" s="10">
        <v>3.0</v>
      </c>
      <c r="B5" s="11" t="s">
        <v>10</v>
      </c>
      <c r="C5" s="12">
        <v>69717.0</v>
      </c>
      <c r="D5" s="12">
        <v>71602.0</v>
      </c>
      <c r="E5" s="12">
        <f t="shared" si="1"/>
        <v>141319</v>
      </c>
      <c r="F5" s="13">
        <v>25.69</v>
      </c>
      <c r="G5" s="13">
        <f t="shared" si="2"/>
        <v>5500.934216</v>
      </c>
      <c r="H5" s="18">
        <f>(E5-'2021'!E5)/'2021'!E5*100</f>
        <v>-0.2611353034</v>
      </c>
    </row>
    <row r="6" ht="14.25" customHeight="1">
      <c r="A6" s="10">
        <v>4.0</v>
      </c>
      <c r="B6" s="11" t="s">
        <v>11</v>
      </c>
      <c r="C6" s="12">
        <v>27204.0</v>
      </c>
      <c r="D6" s="12">
        <v>28286.0</v>
      </c>
      <c r="E6" s="12">
        <f t="shared" si="1"/>
        <v>55490</v>
      </c>
      <c r="F6" s="13">
        <v>9.07</v>
      </c>
      <c r="G6" s="13">
        <f t="shared" si="2"/>
        <v>6117.971334</v>
      </c>
      <c r="H6" s="18">
        <f>(E6-'2021'!E6)/'2021'!E6*100</f>
        <v>-0.6570349285</v>
      </c>
    </row>
    <row r="7" ht="14.25" customHeight="1">
      <c r="A7" s="10">
        <v>5.0</v>
      </c>
      <c r="B7" s="11" t="s">
        <v>12</v>
      </c>
      <c r="C7" s="12">
        <v>29744.0</v>
      </c>
      <c r="D7" s="12">
        <v>31468.0</v>
      </c>
      <c r="E7" s="12">
        <f t="shared" si="1"/>
        <v>61212</v>
      </c>
      <c r="F7" s="13">
        <v>5.93</v>
      </c>
      <c r="G7" s="13">
        <f t="shared" si="2"/>
        <v>10322.42833</v>
      </c>
      <c r="H7" s="18">
        <f>(E7-'2021'!E7)/'2021'!E7*100</f>
        <v>-0.6556738509</v>
      </c>
    </row>
    <row r="8" ht="14.25" customHeight="1">
      <c r="A8" s="10">
        <v>6.0</v>
      </c>
      <c r="B8" s="11" t="s">
        <v>13</v>
      </c>
      <c r="C8" s="12">
        <v>36709.0</v>
      </c>
      <c r="D8" s="12">
        <v>37752.0</v>
      </c>
      <c r="E8" s="12">
        <f t="shared" si="1"/>
        <v>74461</v>
      </c>
      <c r="F8" s="13">
        <v>6.54</v>
      </c>
      <c r="G8" s="13">
        <f t="shared" si="2"/>
        <v>11385.47401</v>
      </c>
      <c r="H8" s="18">
        <f>(E8-'2021'!E8)/'2021'!E8*100</f>
        <v>-0.6550859217</v>
      </c>
    </row>
    <row r="9" ht="14.25" customHeight="1">
      <c r="A9" s="10">
        <v>7.0</v>
      </c>
      <c r="B9" s="11" t="s">
        <v>14</v>
      </c>
      <c r="C9" s="12">
        <v>96306.0</v>
      </c>
      <c r="D9" s="12">
        <v>97174.0</v>
      </c>
      <c r="E9" s="12">
        <f t="shared" si="1"/>
        <v>193480</v>
      </c>
      <c r="F9" s="13">
        <v>44.2</v>
      </c>
      <c r="G9" s="13">
        <f t="shared" si="2"/>
        <v>4377.375566</v>
      </c>
      <c r="H9" s="18">
        <f>(E9-'2021'!E9)/'2021'!E9*100</f>
        <v>1.00229693</v>
      </c>
    </row>
    <row r="10" ht="14.25" customHeight="1">
      <c r="A10" s="10">
        <v>8.0</v>
      </c>
      <c r="B10" s="11" t="s">
        <v>15</v>
      </c>
      <c r="C10" s="12">
        <v>95667.0</v>
      </c>
      <c r="D10" s="12">
        <v>97458.0</v>
      </c>
      <c r="E10" s="12">
        <f t="shared" si="1"/>
        <v>193125</v>
      </c>
      <c r="F10" s="13">
        <v>20.72</v>
      </c>
      <c r="G10" s="13">
        <f t="shared" si="2"/>
        <v>9320.704633</v>
      </c>
      <c r="H10" s="18">
        <f>(E10-'2021'!E10)/'2021'!E10*100</f>
        <v>-0.001553373928</v>
      </c>
    </row>
    <row r="11" ht="14.25" customHeight="1">
      <c r="A11" s="10">
        <v>9.0</v>
      </c>
      <c r="B11" s="11" t="s">
        <v>16</v>
      </c>
      <c r="C11" s="12">
        <v>64514.0</v>
      </c>
      <c r="D11" s="12">
        <v>64182.0</v>
      </c>
      <c r="E11" s="12">
        <f t="shared" si="1"/>
        <v>128696</v>
      </c>
      <c r="F11" s="13">
        <v>27.39</v>
      </c>
      <c r="G11" s="13">
        <f t="shared" si="2"/>
        <v>4698.649142</v>
      </c>
      <c r="H11" s="18">
        <f>(E11-'2021'!E11)/'2021'!E11*100</f>
        <v>2.166440417</v>
      </c>
    </row>
    <row r="12" ht="14.25" customHeight="1">
      <c r="A12" s="10">
        <v>10.0</v>
      </c>
      <c r="B12" s="11" t="s">
        <v>17</v>
      </c>
      <c r="C12" s="12">
        <v>34421.0</v>
      </c>
      <c r="D12" s="12">
        <v>34913.0</v>
      </c>
      <c r="E12" s="12">
        <f t="shared" si="1"/>
        <v>69334</v>
      </c>
      <c r="F12" s="13">
        <v>6.18</v>
      </c>
      <c r="G12" s="13">
        <f t="shared" si="2"/>
        <v>11219.09385</v>
      </c>
      <c r="H12" s="18">
        <f>(E12-'2021'!E12)/'2021'!E12*100</f>
        <v>-0.6562356717</v>
      </c>
    </row>
    <row r="13" ht="14.25" customHeight="1">
      <c r="A13" s="10">
        <v>11.0</v>
      </c>
      <c r="B13" s="11" t="s">
        <v>18</v>
      </c>
      <c r="C13" s="12">
        <v>31729.0</v>
      </c>
      <c r="D13" s="12">
        <v>33698.0</v>
      </c>
      <c r="E13" s="12">
        <f t="shared" si="1"/>
        <v>65427</v>
      </c>
      <c r="F13" s="13">
        <v>7.7</v>
      </c>
      <c r="G13" s="13">
        <f t="shared" si="2"/>
        <v>8497.012987</v>
      </c>
      <c r="H13" s="18">
        <f>(E13-'2021'!E13)/'2021'!E13*100</f>
        <v>-0.6559467954</v>
      </c>
    </row>
    <row r="14" ht="14.25" customHeight="1">
      <c r="A14" s="10">
        <v>12.0</v>
      </c>
      <c r="B14" s="11" t="s">
        <v>19</v>
      </c>
      <c r="C14" s="12">
        <v>57341.0</v>
      </c>
      <c r="D14" s="12">
        <v>58713.0</v>
      </c>
      <c r="E14" s="12">
        <f t="shared" si="1"/>
        <v>116054</v>
      </c>
      <c r="F14" s="13">
        <v>10.97</v>
      </c>
      <c r="G14" s="13">
        <f t="shared" si="2"/>
        <v>10579.21604</v>
      </c>
      <c r="H14" s="18">
        <f>(E14-'2021'!E14)/'2021'!E14*100</f>
        <v>-0.6557096388</v>
      </c>
    </row>
    <row r="15" ht="14.25" customHeight="1">
      <c r="A15" s="10">
        <v>13.0</v>
      </c>
      <c r="B15" s="11" t="s">
        <v>20</v>
      </c>
      <c r="C15" s="12">
        <v>26002.0</v>
      </c>
      <c r="D15" s="12">
        <v>28336.0</v>
      </c>
      <c r="E15" s="12">
        <f t="shared" si="1"/>
        <v>54338</v>
      </c>
      <c r="F15" s="13">
        <v>6.14</v>
      </c>
      <c r="G15" s="13">
        <f t="shared" si="2"/>
        <v>8849.837134</v>
      </c>
      <c r="H15" s="18">
        <f>(E15-'2021'!E15)/'2021'!E15*100</f>
        <v>-0.6545268393</v>
      </c>
    </row>
    <row r="16" ht="14.25" customHeight="1">
      <c r="A16" s="10">
        <v>14.0</v>
      </c>
      <c r="B16" s="11" t="s">
        <v>21</v>
      </c>
      <c r="C16" s="12">
        <v>72102.0</v>
      </c>
      <c r="D16" s="12">
        <v>74813.0</v>
      </c>
      <c r="E16" s="12">
        <f t="shared" si="1"/>
        <v>146915</v>
      </c>
      <c r="F16" s="13">
        <v>21.74</v>
      </c>
      <c r="G16" s="13">
        <f t="shared" si="2"/>
        <v>6757.819687</v>
      </c>
      <c r="H16" s="18">
        <f>(E16-'2021'!E16)/'2021'!E16*100</f>
        <v>-0.6559150691</v>
      </c>
    </row>
    <row r="17" ht="14.25" customHeight="1">
      <c r="A17" s="10">
        <v>15.0</v>
      </c>
      <c r="B17" s="11" t="s">
        <v>22</v>
      </c>
      <c r="C17" s="12">
        <v>16575.0</v>
      </c>
      <c r="D17" s="12">
        <v>16504.0</v>
      </c>
      <c r="E17" s="12">
        <f t="shared" si="1"/>
        <v>33079</v>
      </c>
      <c r="F17" s="13">
        <v>31.78</v>
      </c>
      <c r="G17" s="13">
        <f t="shared" si="2"/>
        <v>1040.874764</v>
      </c>
      <c r="H17" s="18">
        <f>(E17-'2021'!E17)/'2021'!E17*100</f>
        <v>0.3975962122</v>
      </c>
    </row>
    <row r="18" ht="14.25" customHeight="1">
      <c r="A18" s="10">
        <v>16.0</v>
      </c>
      <c r="B18" s="11" t="s">
        <v>23</v>
      </c>
      <c r="C18" s="12">
        <v>71025.0</v>
      </c>
      <c r="D18" s="12">
        <v>71528.0</v>
      </c>
      <c r="E18" s="12">
        <f t="shared" si="1"/>
        <v>142553</v>
      </c>
      <c r="F18" s="13">
        <v>37.99</v>
      </c>
      <c r="G18" s="13">
        <f t="shared" si="2"/>
        <v>3752.382206</v>
      </c>
      <c r="H18" s="18">
        <f>(E18-'2021'!E18)/'2021'!E18*100</f>
        <v>0.2969091894</v>
      </c>
    </row>
    <row r="19" ht="14.25" customHeight="1">
      <c r="A19" s="14" t="s">
        <v>24</v>
      </c>
      <c r="B19" s="3"/>
      <c r="C19" s="15">
        <f t="shared" ref="C19:E19" si="3">SUM(C3:C18)</f>
        <v>821305</v>
      </c>
      <c r="D19" s="15">
        <f t="shared" si="3"/>
        <v>838670</v>
      </c>
      <c r="E19" s="15">
        <f t="shared" si="3"/>
        <v>1659975</v>
      </c>
      <c r="F19" s="16">
        <v>373.7</v>
      </c>
      <c r="G19" s="16">
        <f t="shared" si="2"/>
        <v>4441.99893</v>
      </c>
      <c r="H19" s="18">
        <f>(E19-'2021'!E19)/'2021'!E19*100</f>
        <v>0.2059081327</v>
      </c>
    </row>
    <row r="20" ht="14.25" customHeight="1">
      <c r="A20" s="17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14"/>
    <col customWidth="1" min="2" max="2" width="15.71"/>
    <col customWidth="1" min="3" max="4" width="10.57"/>
    <col customWidth="1" min="5" max="5" width="21.14"/>
    <col customWidth="1" min="6" max="6" width="8.71"/>
    <col customWidth="1" min="7" max="7" width="13.29"/>
    <col customWidth="1" min="8" max="8" width="13.86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4" t="s">
        <v>26</v>
      </c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  <c r="H2" s="9"/>
    </row>
    <row r="3" ht="14.25" customHeight="1">
      <c r="A3" s="10">
        <v>1.0</v>
      </c>
      <c r="B3" s="11" t="s">
        <v>8</v>
      </c>
      <c r="C3" s="12">
        <v>44876.0</v>
      </c>
      <c r="D3" s="12">
        <v>45072.0</v>
      </c>
      <c r="E3" s="12">
        <f t="shared" ref="E3:E18" si="1">C3+D3</f>
        <v>89948</v>
      </c>
      <c r="F3" s="13">
        <v>57.55</v>
      </c>
      <c r="G3" s="13">
        <f t="shared" ref="G3:G19" si="2">E3/F3</f>
        <v>1562.953953</v>
      </c>
      <c r="H3" s="19">
        <f>(E3-'2022'!E3)/'2022'!E3*100</f>
        <v>4.812510196</v>
      </c>
    </row>
    <row r="4" ht="14.25" customHeight="1">
      <c r="A4" s="10">
        <v>2.0</v>
      </c>
      <c r="B4" s="11" t="s">
        <v>9</v>
      </c>
      <c r="C4" s="12">
        <v>50310.0</v>
      </c>
      <c r="D4" s="12">
        <v>50442.0</v>
      </c>
      <c r="E4" s="12">
        <f t="shared" si="1"/>
        <v>100752</v>
      </c>
      <c r="F4" s="13">
        <v>54.11</v>
      </c>
      <c r="G4" s="13">
        <f t="shared" si="2"/>
        <v>1861.984846</v>
      </c>
      <c r="H4" s="19">
        <f>(E4-'2022'!E4)/'2022'!E4*100</f>
        <v>2.10592456</v>
      </c>
    </row>
    <row r="5" ht="14.25" customHeight="1">
      <c r="A5" s="10">
        <v>3.0</v>
      </c>
      <c r="B5" s="11" t="s">
        <v>10</v>
      </c>
      <c r="C5" s="12">
        <v>70675.0</v>
      </c>
      <c r="D5" s="12">
        <v>72758.0</v>
      </c>
      <c r="E5" s="12">
        <f t="shared" si="1"/>
        <v>143433</v>
      </c>
      <c r="F5" s="13">
        <v>25.69</v>
      </c>
      <c r="G5" s="13">
        <f t="shared" si="2"/>
        <v>5583.223044</v>
      </c>
      <c r="H5" s="19">
        <f>(E5-'2022'!E5)/'2022'!E5*100</f>
        <v>1.495906424</v>
      </c>
    </row>
    <row r="6" ht="14.25" customHeight="1">
      <c r="A6" s="10">
        <v>4.0</v>
      </c>
      <c r="B6" s="11" t="s">
        <v>11</v>
      </c>
      <c r="C6" s="12">
        <v>27602.0</v>
      </c>
      <c r="D6" s="12">
        <v>28748.0</v>
      </c>
      <c r="E6" s="12">
        <f t="shared" si="1"/>
        <v>56350</v>
      </c>
      <c r="F6" s="13">
        <v>9.07</v>
      </c>
      <c r="G6" s="13">
        <f t="shared" si="2"/>
        <v>6212.789416</v>
      </c>
      <c r="H6" s="19">
        <f>(E6-'2022'!E6)/'2022'!E6*100</f>
        <v>1.549828798</v>
      </c>
    </row>
    <row r="7" ht="14.25" customHeight="1">
      <c r="A7" s="10">
        <v>5.0</v>
      </c>
      <c r="B7" s="11" t="s">
        <v>12</v>
      </c>
      <c r="C7" s="12">
        <v>30215.0</v>
      </c>
      <c r="D7" s="12">
        <v>31964.0</v>
      </c>
      <c r="E7" s="12">
        <f t="shared" si="1"/>
        <v>62179</v>
      </c>
      <c r="F7" s="13">
        <v>5.93</v>
      </c>
      <c r="G7" s="13">
        <f t="shared" si="2"/>
        <v>10485.49747</v>
      </c>
      <c r="H7" s="19">
        <f>(E7-'2022'!E7)/'2022'!E7*100</f>
        <v>1.579755603</v>
      </c>
    </row>
    <row r="8" ht="14.25" customHeight="1">
      <c r="A8" s="10">
        <v>6.0</v>
      </c>
      <c r="B8" s="11" t="s">
        <v>13</v>
      </c>
      <c r="C8" s="12">
        <v>37302.0</v>
      </c>
      <c r="D8" s="12">
        <v>38312.0</v>
      </c>
      <c r="E8" s="12">
        <f t="shared" si="1"/>
        <v>75614</v>
      </c>
      <c r="F8" s="13">
        <v>6.54</v>
      </c>
      <c r="G8" s="13">
        <f t="shared" si="2"/>
        <v>11561.7737</v>
      </c>
      <c r="H8" s="19">
        <f>(E8-'2022'!E8)/'2022'!E8*100</f>
        <v>1.548461611</v>
      </c>
    </row>
    <row r="9" ht="14.25" customHeight="1">
      <c r="A9" s="10">
        <v>7.0</v>
      </c>
      <c r="B9" s="11" t="s">
        <v>14</v>
      </c>
      <c r="C9" s="12">
        <v>98833.0</v>
      </c>
      <c r="D9" s="12">
        <v>100029.0</v>
      </c>
      <c r="E9" s="12">
        <f t="shared" si="1"/>
        <v>198862</v>
      </c>
      <c r="F9" s="13">
        <v>44.2</v>
      </c>
      <c r="G9" s="13">
        <f t="shared" si="2"/>
        <v>4499.140271</v>
      </c>
      <c r="H9" s="19">
        <f>(E9-'2022'!E9)/'2022'!E9*100</f>
        <v>2.781682861</v>
      </c>
    </row>
    <row r="10" ht="14.25" customHeight="1">
      <c r="A10" s="10">
        <v>8.0</v>
      </c>
      <c r="B10" s="11" t="s">
        <v>15</v>
      </c>
      <c r="C10" s="12">
        <v>97167.0</v>
      </c>
      <c r="D10" s="12">
        <v>99359.0</v>
      </c>
      <c r="E10" s="12">
        <f t="shared" si="1"/>
        <v>196526</v>
      </c>
      <c r="F10" s="13">
        <v>20.72</v>
      </c>
      <c r="G10" s="13">
        <f t="shared" si="2"/>
        <v>9484.84556</v>
      </c>
      <c r="H10" s="19">
        <f>(E10-'2022'!E10)/'2022'!E10*100</f>
        <v>1.761035599</v>
      </c>
    </row>
    <row r="11" ht="14.25" customHeight="1">
      <c r="A11" s="10">
        <v>9.0</v>
      </c>
      <c r="B11" s="11" t="s">
        <v>16</v>
      </c>
      <c r="C11" s="12">
        <v>66946.0</v>
      </c>
      <c r="D11" s="12">
        <v>65527.0</v>
      </c>
      <c r="E11" s="12">
        <f t="shared" si="1"/>
        <v>132473</v>
      </c>
      <c r="F11" s="13">
        <v>27.39</v>
      </c>
      <c r="G11" s="13">
        <f t="shared" si="2"/>
        <v>4836.546185</v>
      </c>
      <c r="H11" s="19">
        <f>(E11-'2022'!E11)/'2022'!E11*100</f>
        <v>2.934823149</v>
      </c>
    </row>
    <row r="12" ht="14.25" customHeight="1">
      <c r="A12" s="10">
        <v>10.0</v>
      </c>
      <c r="B12" s="11" t="s">
        <v>17</v>
      </c>
      <c r="C12" s="12">
        <v>34998.0</v>
      </c>
      <c r="D12" s="12">
        <v>35411.0</v>
      </c>
      <c r="E12" s="12">
        <f t="shared" si="1"/>
        <v>70409</v>
      </c>
      <c r="F12" s="13">
        <v>6.18</v>
      </c>
      <c r="G12" s="13">
        <f t="shared" si="2"/>
        <v>11393.04207</v>
      </c>
      <c r="H12" s="19">
        <f>(E12-'2022'!E12)/'2022'!E12*100</f>
        <v>1.550465861</v>
      </c>
    </row>
    <row r="13" ht="14.25" customHeight="1">
      <c r="A13" s="10">
        <v>11.0</v>
      </c>
      <c r="B13" s="11" t="s">
        <v>18</v>
      </c>
      <c r="C13" s="12">
        <v>32261.0</v>
      </c>
      <c r="D13" s="12">
        <v>34220.0</v>
      </c>
      <c r="E13" s="12">
        <f t="shared" si="1"/>
        <v>66481</v>
      </c>
      <c r="F13" s="13">
        <v>7.7</v>
      </c>
      <c r="G13" s="13">
        <f t="shared" si="2"/>
        <v>8633.896104</v>
      </c>
      <c r="H13" s="19">
        <f>(E13-'2022'!E13)/'2022'!E13*100</f>
        <v>1.610955722</v>
      </c>
    </row>
    <row r="14" ht="14.25" customHeight="1">
      <c r="A14" s="10">
        <v>12.0</v>
      </c>
      <c r="B14" s="11" t="s">
        <v>19</v>
      </c>
      <c r="C14" s="12">
        <v>58194.0</v>
      </c>
      <c r="D14" s="12">
        <v>59693.0</v>
      </c>
      <c r="E14" s="12">
        <f t="shared" si="1"/>
        <v>117887</v>
      </c>
      <c r="F14" s="13">
        <v>10.97</v>
      </c>
      <c r="G14" s="13">
        <f t="shared" si="2"/>
        <v>10746.30811</v>
      </c>
      <c r="H14" s="19">
        <f>(E14-'2022'!E14)/'2022'!E14*100</f>
        <v>1.579437159</v>
      </c>
    </row>
    <row r="15" ht="14.25" customHeight="1">
      <c r="A15" s="10">
        <v>13.0</v>
      </c>
      <c r="B15" s="11" t="s">
        <v>20</v>
      </c>
      <c r="C15" s="12">
        <v>26438.0</v>
      </c>
      <c r="D15" s="12">
        <v>28775.0</v>
      </c>
      <c r="E15" s="12">
        <f t="shared" si="1"/>
        <v>55213</v>
      </c>
      <c r="F15" s="13">
        <v>6.14</v>
      </c>
      <c r="G15" s="13">
        <f t="shared" si="2"/>
        <v>8992.345277</v>
      </c>
      <c r="H15" s="19">
        <f>(E15-'2022'!E15)/'2022'!E15*100</f>
        <v>1.610291141</v>
      </c>
    </row>
    <row r="16" ht="14.25" customHeight="1">
      <c r="A16" s="10">
        <v>14.0</v>
      </c>
      <c r="B16" s="11" t="s">
        <v>21</v>
      </c>
      <c r="C16" s="12">
        <v>73311.0</v>
      </c>
      <c r="D16" s="12">
        <v>76015.0</v>
      </c>
      <c r="E16" s="12">
        <f t="shared" si="1"/>
        <v>149326</v>
      </c>
      <c r="F16" s="13">
        <v>21.74</v>
      </c>
      <c r="G16" s="13">
        <f t="shared" si="2"/>
        <v>6868.721251</v>
      </c>
      <c r="H16" s="19">
        <f>(E16-'2022'!E16)/'2022'!E16*100</f>
        <v>1.641084981</v>
      </c>
    </row>
    <row r="17" ht="14.25" customHeight="1">
      <c r="A17" s="10">
        <v>15.0</v>
      </c>
      <c r="B17" s="11" t="s">
        <v>22</v>
      </c>
      <c r="C17" s="12">
        <v>16906.0</v>
      </c>
      <c r="D17" s="12">
        <v>16889.0</v>
      </c>
      <c r="E17" s="12">
        <f t="shared" si="1"/>
        <v>33795</v>
      </c>
      <c r="F17" s="13">
        <v>31.78</v>
      </c>
      <c r="G17" s="13">
        <f t="shared" si="2"/>
        <v>1063.404657</v>
      </c>
      <c r="H17" s="19">
        <f>(E17-'2022'!E17)/'2022'!E17*100</f>
        <v>2.164515251</v>
      </c>
    </row>
    <row r="18" ht="14.25" customHeight="1">
      <c r="A18" s="10">
        <v>16.0</v>
      </c>
      <c r="B18" s="11" t="s">
        <v>23</v>
      </c>
      <c r="C18" s="12">
        <v>72403.0</v>
      </c>
      <c r="D18" s="12">
        <v>73092.0</v>
      </c>
      <c r="E18" s="12">
        <f t="shared" si="1"/>
        <v>145495</v>
      </c>
      <c r="F18" s="13">
        <v>37.99</v>
      </c>
      <c r="G18" s="13">
        <f t="shared" si="2"/>
        <v>3829.823638</v>
      </c>
      <c r="H18" s="19">
        <f>(E18-'2022'!E18)/'2022'!E18*100</f>
        <v>2.063793817</v>
      </c>
    </row>
    <row r="19" ht="14.25" customHeight="1">
      <c r="A19" s="14" t="s">
        <v>24</v>
      </c>
      <c r="B19" s="3"/>
      <c r="C19" s="15">
        <f t="shared" ref="C19:E19" si="3">SUM(C3:C18)</f>
        <v>838437</v>
      </c>
      <c r="D19" s="15">
        <f t="shared" si="3"/>
        <v>856306</v>
      </c>
      <c r="E19" s="15">
        <f t="shared" si="3"/>
        <v>1694743</v>
      </c>
      <c r="F19" s="16">
        <v>373.7</v>
      </c>
      <c r="G19" s="16">
        <f t="shared" si="2"/>
        <v>4535.036125</v>
      </c>
      <c r="H19" s="20">
        <f>(E19-'2022'!E19)/'2022'!E19*100</f>
        <v>2.094489375</v>
      </c>
    </row>
    <row r="20" ht="14.25" customHeight="1">
      <c r="A20" s="17" t="s">
        <v>25</v>
      </c>
    </row>
    <row r="21" ht="14.25" customHeight="1"/>
    <row r="22" ht="14.25" customHeight="1"/>
    <row r="23" ht="14.25" customHeight="1">
      <c r="B23" s="21" t="s">
        <v>27</v>
      </c>
    </row>
    <row r="24" ht="14.25" customHeight="1">
      <c r="B24" s="21" t="s">
        <v>28</v>
      </c>
    </row>
    <row r="25" ht="14.25" customHeight="1">
      <c r="B25" s="21" t="s">
        <v>29</v>
      </c>
    </row>
    <row r="26" ht="14.25" customHeight="1">
      <c r="B26" s="21" t="s">
        <v>30</v>
      </c>
    </row>
    <row r="27" ht="14.25" customHeight="1">
      <c r="B27" s="21" t="s">
        <v>31</v>
      </c>
    </row>
    <row r="28" ht="14.25" customHeight="1">
      <c r="B28" s="21" t="s">
        <v>26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71"/>
    <col customWidth="1" min="5" max="5" width="20.57"/>
    <col customWidth="1" min="6" max="6" width="8.71"/>
    <col customWidth="1" min="7" max="8" width="13.29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4" t="s">
        <v>26</v>
      </c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  <c r="H2" s="9"/>
    </row>
    <row r="3" ht="14.25" customHeight="1">
      <c r="A3" s="10">
        <v>1.0</v>
      </c>
      <c r="B3" s="11" t="s">
        <v>8</v>
      </c>
      <c r="C3" s="12">
        <v>46420.0</v>
      </c>
      <c r="D3" s="12">
        <v>46668.0</v>
      </c>
      <c r="E3" s="12">
        <f t="shared" ref="E3:E18" si="1">C3+D3</f>
        <v>93088</v>
      </c>
      <c r="F3" s="13">
        <v>57.55</v>
      </c>
      <c r="G3" s="13">
        <f t="shared" ref="G3:G19" si="2">E3/F3</f>
        <v>1617.515204</v>
      </c>
      <c r="H3" s="18">
        <f>(E3-'2023'!E3)/'2023'!E3*100</f>
        <v>3.490905857</v>
      </c>
    </row>
    <row r="4" ht="14.25" customHeight="1">
      <c r="A4" s="10">
        <v>2.0</v>
      </c>
      <c r="B4" s="11" t="s">
        <v>9</v>
      </c>
      <c r="C4" s="12">
        <v>50735.0</v>
      </c>
      <c r="D4" s="12">
        <v>50842.0</v>
      </c>
      <c r="E4" s="12">
        <f t="shared" si="1"/>
        <v>101577</v>
      </c>
      <c r="F4" s="13">
        <v>54.11</v>
      </c>
      <c r="G4" s="13">
        <f t="shared" si="2"/>
        <v>1877.231565</v>
      </c>
      <c r="H4" s="18">
        <f>(E4-'2023'!E4)/'2023'!E4*100</f>
        <v>0.8188423059</v>
      </c>
    </row>
    <row r="5" ht="14.25" customHeight="1">
      <c r="A5" s="10">
        <v>3.0</v>
      </c>
      <c r="B5" s="11" t="s">
        <v>10</v>
      </c>
      <c r="C5" s="12">
        <v>70861.0</v>
      </c>
      <c r="D5" s="12">
        <v>72885.0</v>
      </c>
      <c r="E5" s="12">
        <f t="shared" si="1"/>
        <v>143746</v>
      </c>
      <c r="F5" s="13">
        <v>25.69</v>
      </c>
      <c r="G5" s="13">
        <f t="shared" si="2"/>
        <v>5595.406773</v>
      </c>
      <c r="H5" s="18">
        <f>(E5-'2023'!E5)/'2023'!E5*100</f>
        <v>0.2182203538</v>
      </c>
    </row>
    <row r="6" ht="14.25" customHeight="1">
      <c r="A6" s="10">
        <v>4.0</v>
      </c>
      <c r="B6" s="11" t="s">
        <v>11</v>
      </c>
      <c r="C6" s="12">
        <v>27600.0</v>
      </c>
      <c r="D6" s="12">
        <v>28734.0</v>
      </c>
      <c r="E6" s="12">
        <f t="shared" si="1"/>
        <v>56334</v>
      </c>
      <c r="F6" s="13">
        <v>9.07</v>
      </c>
      <c r="G6" s="13">
        <f t="shared" si="2"/>
        <v>6211.025358</v>
      </c>
      <c r="H6" s="18">
        <f>(E6-'2023'!E6)/'2023'!E6*100</f>
        <v>-0.02839396628</v>
      </c>
    </row>
    <row r="7" ht="14.25" customHeight="1">
      <c r="A7" s="10">
        <v>5.0</v>
      </c>
      <c r="B7" s="11" t="s">
        <v>12</v>
      </c>
      <c r="C7" s="12">
        <v>30224.0</v>
      </c>
      <c r="D7" s="12">
        <v>31794.0</v>
      </c>
      <c r="E7" s="12">
        <f t="shared" si="1"/>
        <v>62018</v>
      </c>
      <c r="F7" s="13">
        <v>5.93</v>
      </c>
      <c r="G7" s="13">
        <f t="shared" si="2"/>
        <v>10458.34739</v>
      </c>
      <c r="H7" s="18">
        <f>(E7-'2023'!E7)/'2023'!E7*100</f>
        <v>-0.2589298638</v>
      </c>
    </row>
    <row r="8" ht="14.25" customHeight="1">
      <c r="A8" s="10">
        <v>6.0</v>
      </c>
      <c r="B8" s="11" t="s">
        <v>13</v>
      </c>
      <c r="C8" s="12">
        <v>37317.0</v>
      </c>
      <c r="D8" s="12">
        <v>38125.0</v>
      </c>
      <c r="E8" s="12">
        <f t="shared" si="1"/>
        <v>75442</v>
      </c>
      <c r="F8" s="13">
        <v>6.54</v>
      </c>
      <c r="G8" s="13">
        <f t="shared" si="2"/>
        <v>11535.47401</v>
      </c>
      <c r="H8" s="18">
        <f>(E8-'2023'!E8)/'2023'!E8*100</f>
        <v>-0.2274711032</v>
      </c>
    </row>
    <row r="9" ht="14.25" customHeight="1">
      <c r="A9" s="10">
        <v>7.0</v>
      </c>
      <c r="B9" s="11" t="s">
        <v>14</v>
      </c>
      <c r="C9" s="12">
        <v>100313.0</v>
      </c>
      <c r="D9" s="12">
        <v>101508.0</v>
      </c>
      <c r="E9" s="12">
        <f t="shared" si="1"/>
        <v>201821</v>
      </c>
      <c r="F9" s="13">
        <v>44.2</v>
      </c>
      <c r="G9" s="13">
        <f t="shared" si="2"/>
        <v>4566.085973</v>
      </c>
      <c r="H9" s="18">
        <f>(E9-'2023'!E9)/'2023'!E9*100</f>
        <v>1.48796653</v>
      </c>
    </row>
    <row r="10" ht="14.25" customHeight="1">
      <c r="A10" s="10">
        <v>8.0</v>
      </c>
      <c r="B10" s="11" t="s">
        <v>15</v>
      </c>
      <c r="C10" s="12">
        <v>97609.0</v>
      </c>
      <c r="D10" s="12">
        <v>99859.0</v>
      </c>
      <c r="E10" s="12">
        <f t="shared" si="1"/>
        <v>197468</v>
      </c>
      <c r="F10" s="13">
        <v>20.72</v>
      </c>
      <c r="G10" s="13">
        <f t="shared" si="2"/>
        <v>9530.30888</v>
      </c>
      <c r="H10" s="18">
        <f>(E10-'2023'!E10)/'2023'!E10*100</f>
        <v>0.4793258907</v>
      </c>
    </row>
    <row r="11" ht="14.25" customHeight="1">
      <c r="A11" s="10">
        <v>9.0</v>
      </c>
      <c r="B11" s="11" t="s">
        <v>16</v>
      </c>
      <c r="C11" s="12">
        <v>68709.0</v>
      </c>
      <c r="D11" s="12">
        <v>68647.0</v>
      </c>
      <c r="E11" s="12">
        <f t="shared" si="1"/>
        <v>137356</v>
      </c>
      <c r="F11" s="13">
        <v>27.39</v>
      </c>
      <c r="G11" s="13">
        <f t="shared" si="2"/>
        <v>5014.822928</v>
      </c>
      <c r="H11" s="18">
        <f>(E11-'2023'!E11)/'2023'!E11*100</f>
        <v>3.686034135</v>
      </c>
    </row>
    <row r="12" ht="14.25" customHeight="1">
      <c r="A12" s="10">
        <v>10.0</v>
      </c>
      <c r="B12" s="11" t="s">
        <v>17</v>
      </c>
      <c r="C12" s="12">
        <v>35019.0</v>
      </c>
      <c r="D12" s="12">
        <v>35369.0</v>
      </c>
      <c r="E12" s="12">
        <f t="shared" si="1"/>
        <v>70388</v>
      </c>
      <c r="F12" s="13">
        <v>6.18</v>
      </c>
      <c r="G12" s="13">
        <f t="shared" si="2"/>
        <v>11389.64401</v>
      </c>
      <c r="H12" s="18">
        <f>(E12-'2023'!E12)/'2023'!E12*100</f>
        <v>-0.02982573251</v>
      </c>
    </row>
    <row r="13" ht="14.25" customHeight="1">
      <c r="A13" s="10">
        <v>11.0</v>
      </c>
      <c r="B13" s="11" t="s">
        <v>18</v>
      </c>
      <c r="C13" s="12">
        <v>32280.0</v>
      </c>
      <c r="D13" s="12">
        <v>34195.0</v>
      </c>
      <c r="E13" s="12">
        <f t="shared" si="1"/>
        <v>66475</v>
      </c>
      <c r="F13" s="13">
        <v>7.7</v>
      </c>
      <c r="G13" s="13">
        <f t="shared" si="2"/>
        <v>8633.116883</v>
      </c>
      <c r="H13" s="18">
        <f>(E13-'2023'!E13)/'2023'!E13*100</f>
        <v>-0.009025135001</v>
      </c>
      <c r="J13" s="22"/>
    </row>
    <row r="14" ht="14.25" customHeight="1">
      <c r="A14" s="10">
        <v>12.0</v>
      </c>
      <c r="B14" s="11" t="s">
        <v>19</v>
      </c>
      <c r="C14" s="12">
        <v>58229.0</v>
      </c>
      <c r="D14" s="12">
        <v>59636.0</v>
      </c>
      <c r="E14" s="12">
        <f t="shared" si="1"/>
        <v>117865</v>
      </c>
      <c r="F14" s="13">
        <v>10.97</v>
      </c>
      <c r="G14" s="13">
        <f t="shared" si="2"/>
        <v>10744.30264</v>
      </c>
      <c r="H14" s="18">
        <f>(E14-'2023'!E14)/'2023'!E14*100</f>
        <v>-0.01866193898</v>
      </c>
      <c r="J14" s="22"/>
    </row>
    <row r="15" ht="14.25" customHeight="1">
      <c r="A15" s="10">
        <v>13.0</v>
      </c>
      <c r="B15" s="11" t="s">
        <v>20</v>
      </c>
      <c r="C15" s="12">
        <v>26454.0</v>
      </c>
      <c r="D15" s="12">
        <v>28754.0</v>
      </c>
      <c r="E15" s="12">
        <f t="shared" si="1"/>
        <v>55208</v>
      </c>
      <c r="F15" s="13">
        <v>6.14</v>
      </c>
      <c r="G15" s="13">
        <f t="shared" si="2"/>
        <v>8991.530945</v>
      </c>
      <c r="H15" s="18">
        <f>(E15-'2023'!E15)/'2023'!E15*100</f>
        <v>-0.009055838299</v>
      </c>
      <c r="J15" s="22"/>
    </row>
    <row r="16" ht="14.25" customHeight="1">
      <c r="A16" s="10">
        <v>14.0</v>
      </c>
      <c r="B16" s="11" t="s">
        <v>21</v>
      </c>
      <c r="C16" s="12">
        <v>73355.0</v>
      </c>
      <c r="D16" s="12">
        <v>75972.0</v>
      </c>
      <c r="E16" s="12">
        <f t="shared" si="1"/>
        <v>149327</v>
      </c>
      <c r="F16" s="13">
        <v>21.74</v>
      </c>
      <c r="G16" s="13">
        <f t="shared" si="2"/>
        <v>6868.767249</v>
      </c>
      <c r="H16" s="18">
        <f>(E16-'2023'!E16)/'2023'!E16*100</f>
        <v>0.000669675743</v>
      </c>
      <c r="J16" s="22"/>
    </row>
    <row r="17" ht="14.25" customHeight="1">
      <c r="A17" s="10">
        <v>15.0</v>
      </c>
      <c r="B17" s="11" t="s">
        <v>22</v>
      </c>
      <c r="C17" s="12">
        <v>17054.0</v>
      </c>
      <c r="D17" s="12">
        <v>17038.0</v>
      </c>
      <c r="E17" s="12">
        <f t="shared" si="1"/>
        <v>34092</v>
      </c>
      <c r="F17" s="13">
        <v>31.78</v>
      </c>
      <c r="G17" s="13">
        <f t="shared" si="2"/>
        <v>1072.750157</v>
      </c>
      <c r="H17" s="18">
        <f>(E17-'2023'!E17)/'2023'!E17*100</f>
        <v>0.878828229</v>
      </c>
      <c r="J17" s="22"/>
    </row>
    <row r="18" ht="14.25" customHeight="1">
      <c r="A18" s="10">
        <v>16.0</v>
      </c>
      <c r="B18" s="11" t="s">
        <v>23</v>
      </c>
      <c r="C18" s="12">
        <v>72998.0</v>
      </c>
      <c r="D18" s="12">
        <v>73630.0</v>
      </c>
      <c r="E18" s="12">
        <f t="shared" si="1"/>
        <v>146628</v>
      </c>
      <c r="F18" s="13">
        <v>37.99</v>
      </c>
      <c r="G18" s="13">
        <f t="shared" si="2"/>
        <v>3859.647276</v>
      </c>
      <c r="H18" s="18">
        <f>(E18-'2023'!E18)/'2023'!E18*100</f>
        <v>0.7787209182</v>
      </c>
      <c r="J18" s="22"/>
    </row>
    <row r="19" ht="14.25" customHeight="1">
      <c r="A19" s="14" t="s">
        <v>24</v>
      </c>
      <c r="B19" s="3"/>
      <c r="C19" s="15">
        <f t="shared" ref="C19:E19" si="3">SUM(C3:C18)</f>
        <v>845177</v>
      </c>
      <c r="D19" s="15">
        <f t="shared" si="3"/>
        <v>863656</v>
      </c>
      <c r="E19" s="15">
        <f t="shared" si="3"/>
        <v>1708833</v>
      </c>
      <c r="F19" s="16">
        <v>373.7</v>
      </c>
      <c r="G19" s="16">
        <f t="shared" si="2"/>
        <v>4572.740166</v>
      </c>
      <c r="H19" s="18">
        <f>(E19-'2023'!E19)/'2023'!E19*100</f>
        <v>0.8313944946</v>
      </c>
      <c r="J19" s="22"/>
    </row>
    <row r="20" ht="14.25" customHeight="1">
      <c r="A20" s="17" t="s">
        <v>25</v>
      </c>
      <c r="J20" s="22"/>
    </row>
    <row r="21" ht="14.25" customHeight="1">
      <c r="J21" s="22"/>
    </row>
    <row r="22" ht="14.25" customHeight="1">
      <c r="J22" s="22"/>
    </row>
    <row r="23" ht="14.25" customHeight="1">
      <c r="C23" s="23">
        <f>C19/1000000</f>
        <v>0.845177</v>
      </c>
      <c r="J23" s="22"/>
    </row>
    <row r="24" ht="14.25" customHeight="1">
      <c r="H24" s="23">
        <f>(E19-'2023'!E190)/'2023'!E19*100-100</f>
        <v>0.8313944946</v>
      </c>
      <c r="J24" s="22"/>
    </row>
    <row r="25" ht="14.25" customHeight="1">
      <c r="J25" s="22"/>
    </row>
    <row r="26" ht="14.25" customHeight="1">
      <c r="J26" s="22"/>
    </row>
    <row r="27" ht="14.25" customHeight="1">
      <c r="J27" s="22"/>
    </row>
    <row r="28" ht="14.25" customHeight="1">
      <c r="J28" s="22"/>
    </row>
    <row r="29" ht="14.25" customHeight="1">
      <c r="J29" s="2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.57"/>
    <col customWidth="1" min="3" max="3" width="10.57"/>
    <col customWidth="1" min="4" max="4" width="11.71"/>
    <col customWidth="1" min="5" max="5" width="20.57"/>
    <col customWidth="1" min="6" max="6" width="8.71"/>
    <col customWidth="1" min="7" max="7" width="13.29"/>
    <col customWidth="1" min="8" max="8" width="14.71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4" t="s">
        <v>26</v>
      </c>
    </row>
    <row r="2" ht="14.25" customHeight="1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/>
      <c r="G2" s="9"/>
      <c r="H2" s="9"/>
    </row>
    <row r="3" ht="14.25" customHeight="1">
      <c r="A3" s="10">
        <v>1.0</v>
      </c>
      <c r="B3" s="11" t="s">
        <v>8</v>
      </c>
      <c r="C3" s="24">
        <v>47993.0</v>
      </c>
      <c r="D3" s="24">
        <v>48364.0</v>
      </c>
      <c r="E3" s="12">
        <f t="shared" ref="E3:E18" si="1">C3+D3</f>
        <v>96357</v>
      </c>
      <c r="F3" s="13">
        <v>57.55</v>
      </c>
      <c r="G3" s="13">
        <f t="shared" ref="G3:G19" si="2">E3/F3</f>
        <v>1674.317984</v>
      </c>
      <c r="H3" s="18">
        <f>(E3-'2024'!E3)/'2024'!E3*100</f>
        <v>3.511730835</v>
      </c>
    </row>
    <row r="4" ht="14.25" customHeight="1">
      <c r="A4" s="10">
        <v>2.0</v>
      </c>
      <c r="B4" s="11" t="s">
        <v>9</v>
      </c>
      <c r="C4" s="24">
        <v>51138.0</v>
      </c>
      <c r="D4" s="24">
        <v>51291.0</v>
      </c>
      <c r="E4" s="12">
        <f t="shared" si="1"/>
        <v>102429</v>
      </c>
      <c r="F4" s="13">
        <v>54.11</v>
      </c>
      <c r="G4" s="13">
        <f t="shared" si="2"/>
        <v>1892.977269</v>
      </c>
      <c r="H4" s="18">
        <f>(E4-'2024'!E4)/'2024'!E4*100</f>
        <v>0.8387725568</v>
      </c>
    </row>
    <row r="5" ht="14.25" customHeight="1">
      <c r="A5" s="10">
        <v>3.0</v>
      </c>
      <c r="B5" s="11" t="s">
        <v>10</v>
      </c>
      <c r="C5" s="24">
        <v>71012.0</v>
      </c>
      <c r="D5" s="24">
        <v>73075.0</v>
      </c>
      <c r="E5" s="12">
        <f t="shared" si="1"/>
        <v>144087</v>
      </c>
      <c r="F5" s="13">
        <v>25.69</v>
      </c>
      <c r="G5" s="13">
        <f t="shared" si="2"/>
        <v>5608.68042</v>
      </c>
      <c r="H5" s="18">
        <f>(E5-'2024'!E5)/'2024'!E5*100</f>
        <v>0.2372239923</v>
      </c>
    </row>
    <row r="6" ht="14.25" customHeight="1">
      <c r="A6" s="10">
        <v>4.0</v>
      </c>
      <c r="B6" s="11" t="s">
        <v>11</v>
      </c>
      <c r="C6" s="24">
        <v>27583.0</v>
      </c>
      <c r="D6" s="24">
        <v>28745.0</v>
      </c>
      <c r="E6" s="12">
        <f t="shared" si="1"/>
        <v>56328</v>
      </c>
      <c r="F6" s="13">
        <v>9.07</v>
      </c>
      <c r="G6" s="13">
        <f t="shared" si="2"/>
        <v>6210.363837</v>
      </c>
      <c r="H6" s="18">
        <f>(E6-'2024'!E6)/'2024'!E6*100</f>
        <v>-0.01065076153</v>
      </c>
    </row>
    <row r="7" ht="14.25" customHeight="1">
      <c r="A7" s="10">
        <v>5.0</v>
      </c>
      <c r="B7" s="11" t="s">
        <v>12</v>
      </c>
      <c r="C7" s="24">
        <v>30219.0</v>
      </c>
      <c r="D7" s="24">
        <v>31762.0</v>
      </c>
      <c r="E7" s="12">
        <f t="shared" si="1"/>
        <v>61981</v>
      </c>
      <c r="F7" s="13">
        <v>5.93</v>
      </c>
      <c r="G7" s="13">
        <f t="shared" si="2"/>
        <v>10452.10793</v>
      </c>
      <c r="H7" s="18">
        <f>(E7-'2024'!E7)/'2024'!E7*100</f>
        <v>-0.05966009868</v>
      </c>
    </row>
    <row r="8" ht="14.25" customHeight="1">
      <c r="A8" s="10">
        <v>6.0</v>
      </c>
      <c r="B8" s="11" t="s">
        <v>13</v>
      </c>
      <c r="C8" s="24">
        <v>37313.0</v>
      </c>
      <c r="D8" s="24">
        <v>38083.0</v>
      </c>
      <c r="E8" s="12">
        <f t="shared" si="1"/>
        <v>75396</v>
      </c>
      <c r="F8" s="13">
        <v>6.54</v>
      </c>
      <c r="G8" s="13">
        <f t="shared" si="2"/>
        <v>11528.44037</v>
      </c>
      <c r="H8" s="18">
        <f>(E8-'2024'!E8)/'2024'!E8*100</f>
        <v>-0.06097399327</v>
      </c>
    </row>
    <row r="9" ht="14.25" customHeight="1">
      <c r="A9" s="10">
        <v>7.0</v>
      </c>
      <c r="B9" s="11" t="s">
        <v>14</v>
      </c>
      <c r="C9" s="24">
        <v>101772.0</v>
      </c>
      <c r="D9" s="24">
        <v>103093.0</v>
      </c>
      <c r="E9" s="12">
        <f t="shared" si="1"/>
        <v>204865</v>
      </c>
      <c r="F9" s="13">
        <v>44.2</v>
      </c>
      <c r="G9" s="13">
        <f t="shared" si="2"/>
        <v>4634.954751</v>
      </c>
      <c r="H9" s="18">
        <f>(E9-'2024'!E9)/'2024'!E9*100</f>
        <v>1.508267227</v>
      </c>
    </row>
    <row r="10" ht="14.25" customHeight="1">
      <c r="A10" s="10">
        <v>8.0</v>
      </c>
      <c r="B10" s="11" t="s">
        <v>15</v>
      </c>
      <c r="C10" s="24">
        <v>98004.0</v>
      </c>
      <c r="D10" s="24">
        <v>100448.0</v>
      </c>
      <c r="E10" s="12">
        <f t="shared" si="1"/>
        <v>198452</v>
      </c>
      <c r="F10" s="13">
        <v>20.72</v>
      </c>
      <c r="G10" s="13">
        <f t="shared" si="2"/>
        <v>9577.799228</v>
      </c>
      <c r="H10" s="18">
        <f>(E10-'2024'!E10)/'2024'!E10*100</f>
        <v>0.4983085867</v>
      </c>
    </row>
    <row r="11" ht="14.25" customHeight="1">
      <c r="A11" s="10">
        <v>9.0</v>
      </c>
      <c r="B11" s="11" t="s">
        <v>16</v>
      </c>
      <c r="C11" s="24">
        <v>70483.0</v>
      </c>
      <c r="D11" s="24">
        <v>70550.0</v>
      </c>
      <c r="E11" s="12">
        <f t="shared" si="1"/>
        <v>141033</v>
      </c>
      <c r="F11" s="13">
        <v>27.39</v>
      </c>
      <c r="G11" s="13">
        <f t="shared" si="2"/>
        <v>5149.069003</v>
      </c>
      <c r="H11" s="18">
        <f>(E11-'2024'!E11)/'2024'!E11*100</f>
        <v>2.676985352</v>
      </c>
    </row>
    <row r="12" ht="14.25" customHeight="1">
      <c r="A12" s="10">
        <v>10.0</v>
      </c>
      <c r="B12" s="11" t="s">
        <v>17</v>
      </c>
      <c r="C12" s="24">
        <v>35023.0</v>
      </c>
      <c r="D12" s="24">
        <v>35358.0</v>
      </c>
      <c r="E12" s="12">
        <f t="shared" si="1"/>
        <v>70381</v>
      </c>
      <c r="F12" s="13">
        <v>6.18</v>
      </c>
      <c r="G12" s="13">
        <f t="shared" si="2"/>
        <v>11388.51133</v>
      </c>
      <c r="H12" s="18">
        <f>(E12-'2024'!E12)/'2024'!E12*100</f>
        <v>-0.009944876968</v>
      </c>
    </row>
    <row r="13" ht="14.25" customHeight="1">
      <c r="A13" s="10">
        <v>11.0</v>
      </c>
      <c r="B13" s="11" t="s">
        <v>18</v>
      </c>
      <c r="C13" s="24">
        <v>32284.0</v>
      </c>
      <c r="D13" s="24">
        <v>34198.0</v>
      </c>
      <c r="E13" s="12">
        <f t="shared" si="1"/>
        <v>66482</v>
      </c>
      <c r="F13" s="13">
        <v>7.7</v>
      </c>
      <c r="G13" s="13">
        <f t="shared" si="2"/>
        <v>8634.025974</v>
      </c>
      <c r="H13" s="18">
        <f>(E13-'2024'!E13)/'2024'!E13*100</f>
        <v>0.01053027454</v>
      </c>
    </row>
    <row r="14" ht="14.25" customHeight="1">
      <c r="A14" s="10">
        <v>12.0</v>
      </c>
      <c r="B14" s="11" t="s">
        <v>19</v>
      </c>
      <c r="C14" s="24">
        <v>58236.0</v>
      </c>
      <c r="D14" s="24">
        <v>59629.0</v>
      </c>
      <c r="E14" s="12">
        <f t="shared" si="1"/>
        <v>117865</v>
      </c>
      <c r="F14" s="13">
        <v>10.97</v>
      </c>
      <c r="G14" s="13">
        <f t="shared" si="2"/>
        <v>10744.30264</v>
      </c>
      <c r="H14" s="18">
        <f>(E14-'2024'!E14)/'2024'!E14*100</f>
        <v>0</v>
      </c>
    </row>
    <row r="15" ht="14.25" customHeight="1">
      <c r="A15" s="10">
        <v>13.0</v>
      </c>
      <c r="B15" s="11" t="s">
        <v>20</v>
      </c>
      <c r="C15" s="24">
        <v>26457.0</v>
      </c>
      <c r="D15" s="24">
        <v>28756.0</v>
      </c>
      <c r="E15" s="12">
        <f t="shared" si="1"/>
        <v>55213</v>
      </c>
      <c r="F15" s="13">
        <v>6.14</v>
      </c>
      <c r="G15" s="13">
        <f t="shared" si="2"/>
        <v>8992.345277</v>
      </c>
      <c r="H15" s="18">
        <f>(E15-'2024'!E15)/'2024'!E15*100</f>
        <v>0.009056658455</v>
      </c>
    </row>
    <row r="16" ht="14.25" customHeight="1">
      <c r="A16" s="10">
        <v>14.0</v>
      </c>
      <c r="B16" s="11" t="s">
        <v>21</v>
      </c>
      <c r="C16" s="24">
        <v>73363.0</v>
      </c>
      <c r="D16" s="24">
        <v>75994.0</v>
      </c>
      <c r="E16" s="12">
        <f t="shared" si="1"/>
        <v>149357</v>
      </c>
      <c r="F16" s="13">
        <v>21.74</v>
      </c>
      <c r="G16" s="13">
        <f t="shared" si="2"/>
        <v>6870.147194</v>
      </c>
      <c r="H16" s="18">
        <f>(E16-'2024'!E16)/'2024'!E16*100</f>
        <v>0.02009013775</v>
      </c>
    </row>
    <row r="17" ht="14.25" customHeight="1">
      <c r="A17" s="10">
        <v>15.0</v>
      </c>
      <c r="B17" s="11" t="s">
        <v>22</v>
      </c>
      <c r="C17" s="24">
        <v>17196.0</v>
      </c>
      <c r="D17" s="24">
        <v>17202.0</v>
      </c>
      <c r="E17" s="12">
        <f t="shared" si="1"/>
        <v>34398</v>
      </c>
      <c r="F17" s="13">
        <v>31.78</v>
      </c>
      <c r="G17" s="13">
        <f t="shared" si="2"/>
        <v>1082.378855</v>
      </c>
      <c r="H17" s="18">
        <f>(E17-'2024'!E17)/'2024'!E17*100</f>
        <v>0.8975712777</v>
      </c>
    </row>
    <row r="18" ht="14.25" customHeight="1">
      <c r="A18" s="10">
        <v>16.0</v>
      </c>
      <c r="B18" s="11" t="s">
        <v>23</v>
      </c>
      <c r="C18" s="24">
        <v>73561.0</v>
      </c>
      <c r="D18" s="24">
        <v>74236.0</v>
      </c>
      <c r="E18" s="12">
        <f t="shared" si="1"/>
        <v>147797</v>
      </c>
      <c r="F18" s="13">
        <v>37.99</v>
      </c>
      <c r="G18" s="13">
        <f t="shared" si="2"/>
        <v>3890.418531</v>
      </c>
      <c r="H18" s="18">
        <f>(E18-'2024'!E18)/'2024'!E18*100</f>
        <v>0.7972556401</v>
      </c>
    </row>
    <row r="19" ht="14.25" customHeight="1">
      <c r="A19" s="14" t="s">
        <v>24</v>
      </c>
      <c r="B19" s="3"/>
      <c r="C19" s="24">
        <v>851637.0</v>
      </c>
      <c r="D19" s="24">
        <v>870784.0</v>
      </c>
      <c r="E19" s="15">
        <f>SUM(E3:E18)</f>
        <v>1722421</v>
      </c>
      <c r="F19" s="16">
        <v>373.7</v>
      </c>
      <c r="G19" s="16">
        <f t="shared" si="2"/>
        <v>4609.100883</v>
      </c>
      <c r="H19" s="18">
        <f>(E19-'2024'!E19)/'2024'!E19*100</f>
        <v>0.7951625466</v>
      </c>
    </row>
    <row r="20" ht="14.25" customHeight="1">
      <c r="A20" s="17" t="s">
        <v>25</v>
      </c>
    </row>
    <row r="21" ht="14.25" customHeight="1"/>
    <row r="22" ht="14.25" customHeight="1"/>
    <row r="23" ht="14.25" customHeight="1"/>
    <row r="24" ht="14.25" customHeight="1">
      <c r="H24" s="23">
        <f>(E19-'2023'!E190)/'2023'!E19*100-100</f>
        <v>1.633167979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F2"/>
    <mergeCell ref="G1:G2"/>
    <mergeCell ref="H1:H2"/>
    <mergeCell ref="A19:B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2025-04-11T01:28:31Z</dcterms:created>
  <dc:creator>bayu ardiansyah</dc:creator>
</cp:coreProperties>
</file>