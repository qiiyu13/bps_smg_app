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agang BPS\Tugas\Data Si Cantik\Penduduk\"/>
    </mc:Choice>
  </mc:AlternateContent>
  <bookViews>
    <workbookView xWindow="0" yWindow="0" windowWidth="19010" windowHeight="6700" activeTab="4"/>
  </bookViews>
  <sheets>
    <sheet name="2020" sheetId="1" r:id="rId1"/>
    <sheet name="2021" sheetId="2" r:id="rId2"/>
    <sheet name="2022" sheetId="3" r:id="rId3"/>
    <sheet name="2023" sheetId="4" r:id="rId4"/>
    <sheet name="2024" sheetId="5" r:id="rId5"/>
  </sheets>
  <definedNames>
    <definedName name="_xlnm._FilterDatabase" localSheetId="0" hidden="1">'2020'!$A$1:$E$19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5" l="1"/>
  <c r="C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D19" i="4"/>
  <c r="C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D19" i="3"/>
  <c r="C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D19" i="2"/>
  <c r="C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D19" i="1"/>
  <c r="E19" i="1"/>
  <c r="C19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3" i="1"/>
  <c r="E19" i="5" l="1"/>
  <c r="E19" i="4"/>
  <c r="E19" i="3"/>
  <c r="E19" i="2"/>
</calcChain>
</file>

<file path=xl/sharedStrings.xml><?xml version="1.0" encoding="utf-8"?>
<sst xmlns="http://schemas.openxmlformats.org/spreadsheetml/2006/main" count="120" uniqueCount="24">
  <si>
    <t>No</t>
  </si>
  <si>
    <t>Kecamatan</t>
  </si>
  <si>
    <t>Lk</t>
  </si>
  <si>
    <t>Pr</t>
  </si>
  <si>
    <t>Lk+Pr</t>
  </si>
  <si>
    <t>Mijen</t>
  </si>
  <si>
    <t>Gunungpati</t>
  </si>
  <si>
    <t>Banyumanik</t>
  </si>
  <si>
    <t>Gajah Mungkur</t>
  </si>
  <si>
    <t>Semarang Selatan</t>
  </si>
  <si>
    <t>Candisari</t>
  </si>
  <si>
    <t>Tembalang</t>
  </si>
  <si>
    <t>Pedurungan</t>
  </si>
  <si>
    <t>Genuk</t>
  </si>
  <si>
    <t>Gayamsari</t>
  </si>
  <si>
    <t>Semarang Timur</t>
  </si>
  <si>
    <t>Semarang Utara</t>
  </si>
  <si>
    <t>Semarang Tengah</t>
  </si>
  <si>
    <t>Semarang Barat</t>
  </si>
  <si>
    <t>Tugu</t>
  </si>
  <si>
    <t>Ngaliyan</t>
  </si>
  <si>
    <t>Kota Semarang</t>
  </si>
  <si>
    <t>Penduduk Kota Semarang Menurut Kecamatan
(Hasil Proyeksi Penduduk)</t>
  </si>
  <si>
    <t>Sumber: BPS, Sensus Penduduk dan Proyeksi Penduduk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</si>
</sst>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3" fontId="0" fillId="2" borderId="1" xfId="0" applyNumberFormat="1" applyFill="1" applyBorder="1" applyAlignment="1">
      <alignment horizontal="right" vertical="center"/>
    </xf>
    <xf numFmtId="3" fontId="1" fillId="2" borderId="1" xfId="0" applyNumberFormat="1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A6" workbookViewId="0">
      <selection activeCell="A20" sqref="A20"/>
    </sheetView>
  </sheetViews>
  <sheetFormatPr defaultRowHeight="14.5" x14ac:dyDescent="0.35"/>
  <cols>
    <col min="1" max="1" width="3.1796875" bestFit="1" customWidth="1"/>
    <col min="2" max="2" width="15.7265625" bestFit="1" customWidth="1"/>
    <col min="3" max="5" width="10.6328125" customWidth="1"/>
  </cols>
  <sheetData>
    <row r="1" spans="1:5" ht="32" customHeight="1" x14ac:dyDescent="0.35">
      <c r="A1" s="7" t="s">
        <v>22</v>
      </c>
      <c r="B1" s="7"/>
      <c r="C1" s="7"/>
      <c r="D1" s="7"/>
      <c r="E1" s="7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</v>
      </c>
      <c r="B3" s="3" t="s">
        <v>5</v>
      </c>
      <c r="C3" s="4">
        <v>40520</v>
      </c>
      <c r="D3" s="4">
        <v>40386</v>
      </c>
      <c r="E3" s="4">
        <f>C3+D3</f>
        <v>80906</v>
      </c>
    </row>
    <row r="4" spans="1:5" x14ac:dyDescent="0.35">
      <c r="A4" s="2">
        <v>2</v>
      </c>
      <c r="B4" s="3" t="s">
        <v>6</v>
      </c>
      <c r="C4" s="4">
        <v>49023</v>
      </c>
      <c r="D4" s="4">
        <v>49000</v>
      </c>
      <c r="E4" s="4">
        <f t="shared" ref="E4:E18" si="0">C4+D4</f>
        <v>98023</v>
      </c>
    </row>
    <row r="5" spans="1:5" x14ac:dyDescent="0.35">
      <c r="A5" s="2">
        <v>3</v>
      </c>
      <c r="B5" s="3" t="s">
        <v>7</v>
      </c>
      <c r="C5" s="4">
        <v>70074</v>
      </c>
      <c r="D5" s="4">
        <v>72002</v>
      </c>
      <c r="E5" s="4">
        <f t="shared" si="0"/>
        <v>142076</v>
      </c>
    </row>
    <row r="6" spans="1:5" x14ac:dyDescent="0.35">
      <c r="A6" s="2">
        <v>4</v>
      </c>
      <c r="B6" s="3" t="s">
        <v>8</v>
      </c>
      <c r="C6" s="4">
        <v>27592</v>
      </c>
      <c r="D6" s="4">
        <v>28640</v>
      </c>
      <c r="E6" s="4">
        <f t="shared" si="0"/>
        <v>56232</v>
      </c>
    </row>
    <row r="7" spans="1:5" x14ac:dyDescent="0.35">
      <c r="A7" s="2">
        <v>5</v>
      </c>
      <c r="B7" s="3" t="s">
        <v>9</v>
      </c>
      <c r="C7" s="4">
        <v>30168</v>
      </c>
      <c r="D7" s="4">
        <v>31862</v>
      </c>
      <c r="E7" s="4">
        <f t="shared" si="0"/>
        <v>62030</v>
      </c>
    </row>
    <row r="8" spans="1:5" x14ac:dyDescent="0.35">
      <c r="A8" s="2">
        <v>6</v>
      </c>
      <c r="B8" s="3" t="s">
        <v>10</v>
      </c>
      <c r="C8" s="4">
        <v>37232</v>
      </c>
      <c r="D8" s="4">
        <v>38224</v>
      </c>
      <c r="E8" s="4">
        <f t="shared" si="0"/>
        <v>75456</v>
      </c>
    </row>
    <row r="9" spans="1:5" x14ac:dyDescent="0.35">
      <c r="A9" s="2">
        <v>7</v>
      </c>
      <c r="B9" s="3" t="s">
        <v>11</v>
      </c>
      <c r="C9" s="4">
        <v>94453</v>
      </c>
      <c r="D9" s="4">
        <v>95227</v>
      </c>
      <c r="E9" s="4">
        <f t="shared" si="0"/>
        <v>189680</v>
      </c>
    </row>
    <row r="10" spans="1:5" x14ac:dyDescent="0.35">
      <c r="A10" s="2">
        <v>8</v>
      </c>
      <c r="B10" s="3" t="s">
        <v>12</v>
      </c>
      <c r="C10" s="4">
        <v>95791</v>
      </c>
      <c r="D10" s="4">
        <v>97360</v>
      </c>
      <c r="E10" s="4">
        <f t="shared" si="0"/>
        <v>193151</v>
      </c>
    </row>
    <row r="11" spans="1:5" x14ac:dyDescent="0.35">
      <c r="A11" s="2">
        <v>9</v>
      </c>
      <c r="B11" s="3" t="s">
        <v>13</v>
      </c>
      <c r="C11" s="4">
        <v>61884</v>
      </c>
      <c r="D11" s="4">
        <v>61426</v>
      </c>
      <c r="E11" s="4">
        <f t="shared" si="0"/>
        <v>123310</v>
      </c>
    </row>
    <row r="12" spans="1:5" x14ac:dyDescent="0.35">
      <c r="A12" s="2">
        <v>10</v>
      </c>
      <c r="B12" s="3" t="s">
        <v>14</v>
      </c>
      <c r="C12" s="4">
        <v>34912</v>
      </c>
      <c r="D12" s="4">
        <v>35349</v>
      </c>
      <c r="E12" s="4">
        <f t="shared" si="0"/>
        <v>70261</v>
      </c>
    </row>
    <row r="13" spans="1:5" x14ac:dyDescent="0.35">
      <c r="A13" s="2">
        <v>11</v>
      </c>
      <c r="B13" s="3" t="s">
        <v>15</v>
      </c>
      <c r="C13" s="4">
        <v>32181</v>
      </c>
      <c r="D13" s="4">
        <v>34121</v>
      </c>
      <c r="E13" s="4">
        <f t="shared" si="0"/>
        <v>66302</v>
      </c>
    </row>
    <row r="14" spans="1:5" x14ac:dyDescent="0.35">
      <c r="A14" s="2">
        <v>12</v>
      </c>
      <c r="B14" s="3" t="s">
        <v>16</v>
      </c>
      <c r="C14" s="4">
        <v>58051</v>
      </c>
      <c r="D14" s="4">
        <v>59554</v>
      </c>
      <c r="E14" s="4">
        <f t="shared" si="0"/>
        <v>117605</v>
      </c>
    </row>
    <row r="15" spans="1:5" x14ac:dyDescent="0.35">
      <c r="A15" s="2">
        <v>13</v>
      </c>
      <c r="B15" s="3" t="s">
        <v>17</v>
      </c>
      <c r="C15" s="4">
        <v>26373</v>
      </c>
      <c r="D15" s="4">
        <v>28691</v>
      </c>
      <c r="E15" s="4">
        <f t="shared" si="0"/>
        <v>55064</v>
      </c>
    </row>
    <row r="16" spans="1:5" x14ac:dyDescent="0.35">
      <c r="A16" s="2">
        <v>14</v>
      </c>
      <c r="B16" s="3" t="s">
        <v>18</v>
      </c>
      <c r="C16" s="4">
        <v>73130</v>
      </c>
      <c r="D16" s="4">
        <v>75749</v>
      </c>
      <c r="E16" s="4">
        <f t="shared" si="0"/>
        <v>148879</v>
      </c>
    </row>
    <row r="17" spans="1:5" x14ac:dyDescent="0.35">
      <c r="A17" s="2">
        <v>15</v>
      </c>
      <c r="B17" s="3" t="s">
        <v>19</v>
      </c>
      <c r="C17" s="4">
        <v>16457</v>
      </c>
      <c r="D17" s="4">
        <v>16365</v>
      </c>
      <c r="E17" s="4">
        <f t="shared" si="0"/>
        <v>32822</v>
      </c>
    </row>
    <row r="18" spans="1:5" x14ac:dyDescent="0.35">
      <c r="A18" s="2">
        <v>16</v>
      </c>
      <c r="B18" s="3" t="s">
        <v>20</v>
      </c>
      <c r="C18" s="4">
        <v>70600</v>
      </c>
      <c r="D18" s="4">
        <v>71127</v>
      </c>
      <c r="E18" s="4">
        <f t="shared" si="0"/>
        <v>141727</v>
      </c>
    </row>
    <row r="19" spans="1:5" x14ac:dyDescent="0.35">
      <c r="A19" s="6" t="s">
        <v>21</v>
      </c>
      <c r="B19" s="6"/>
      <c r="C19" s="5">
        <f>SUM(C3:C18)</f>
        <v>818441</v>
      </c>
      <c r="D19" s="5">
        <f t="shared" ref="D19:E19" si="1">SUM(D3:D18)</f>
        <v>835083</v>
      </c>
      <c r="E19" s="5">
        <f t="shared" si="1"/>
        <v>1653524</v>
      </c>
    </row>
    <row r="20" spans="1:5" x14ac:dyDescent="0.35">
      <c r="A20" s="8" t="s">
        <v>23</v>
      </c>
    </row>
  </sheetData>
  <mergeCells count="2">
    <mergeCell ref="A19:B19"/>
    <mergeCell ref="A1:E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opLeftCell="A3" workbookViewId="0">
      <selection activeCell="A20" sqref="A20"/>
    </sheetView>
  </sheetViews>
  <sheetFormatPr defaultRowHeight="14.5" x14ac:dyDescent="0.35"/>
  <cols>
    <col min="1" max="1" width="3.1796875" bestFit="1" customWidth="1"/>
    <col min="2" max="2" width="15.7265625" bestFit="1" customWidth="1"/>
    <col min="3" max="5" width="10.6328125" customWidth="1"/>
  </cols>
  <sheetData>
    <row r="1" spans="1:5" ht="32" customHeight="1" x14ac:dyDescent="0.35">
      <c r="A1" s="7" t="s">
        <v>22</v>
      </c>
      <c r="B1" s="7"/>
      <c r="C1" s="7"/>
      <c r="D1" s="7"/>
      <c r="E1" s="7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</v>
      </c>
      <c r="B3" s="3" t="s">
        <v>5</v>
      </c>
      <c r="C3" s="4">
        <v>41695</v>
      </c>
      <c r="D3" s="4">
        <v>41626</v>
      </c>
      <c r="E3" s="4">
        <f>C3+D3</f>
        <v>83321</v>
      </c>
    </row>
    <row r="4" spans="1:5" x14ac:dyDescent="0.35">
      <c r="A4" s="2">
        <v>2</v>
      </c>
      <c r="B4" s="3" t="s">
        <v>6</v>
      </c>
      <c r="C4" s="4">
        <v>49179</v>
      </c>
      <c r="D4" s="4">
        <v>49164</v>
      </c>
      <c r="E4" s="4">
        <f t="shared" ref="E4:E18" si="0">C4+D4</f>
        <v>98343</v>
      </c>
    </row>
    <row r="5" spans="1:5" x14ac:dyDescent="0.35">
      <c r="A5" s="2">
        <v>3</v>
      </c>
      <c r="B5" s="3" t="s">
        <v>7</v>
      </c>
      <c r="C5" s="4">
        <v>69891</v>
      </c>
      <c r="D5" s="4">
        <v>71798</v>
      </c>
      <c r="E5" s="4">
        <f t="shared" si="0"/>
        <v>141689</v>
      </c>
    </row>
    <row r="6" spans="1:5" x14ac:dyDescent="0.35">
      <c r="A6" s="2">
        <v>4</v>
      </c>
      <c r="B6" s="3" t="s">
        <v>8</v>
      </c>
      <c r="C6" s="4">
        <v>27396</v>
      </c>
      <c r="D6" s="4">
        <v>28461</v>
      </c>
      <c r="E6" s="4">
        <f t="shared" si="0"/>
        <v>55857</v>
      </c>
    </row>
    <row r="7" spans="1:5" x14ac:dyDescent="0.35">
      <c r="A7" s="2">
        <v>5</v>
      </c>
      <c r="B7" s="3" t="s">
        <v>9</v>
      </c>
      <c r="C7" s="4">
        <v>29954</v>
      </c>
      <c r="D7" s="4">
        <v>31662</v>
      </c>
      <c r="E7" s="4">
        <f t="shared" si="0"/>
        <v>61616</v>
      </c>
    </row>
    <row r="8" spans="1:5" x14ac:dyDescent="0.35">
      <c r="A8" s="2">
        <v>6</v>
      </c>
      <c r="B8" s="3" t="s">
        <v>10</v>
      </c>
      <c r="C8" s="4">
        <v>36967</v>
      </c>
      <c r="D8" s="4">
        <v>37985</v>
      </c>
      <c r="E8" s="4">
        <f t="shared" si="0"/>
        <v>74952</v>
      </c>
    </row>
    <row r="9" spans="1:5" x14ac:dyDescent="0.35">
      <c r="A9" s="2">
        <v>7</v>
      </c>
      <c r="B9" s="3" t="s">
        <v>11</v>
      </c>
      <c r="C9" s="4">
        <v>95369</v>
      </c>
      <c r="D9" s="4">
        <v>96191</v>
      </c>
      <c r="E9" s="4">
        <f t="shared" si="0"/>
        <v>191560</v>
      </c>
    </row>
    <row r="10" spans="1:5" x14ac:dyDescent="0.35">
      <c r="A10" s="2">
        <v>8</v>
      </c>
      <c r="B10" s="3" t="s">
        <v>12</v>
      </c>
      <c r="C10" s="4">
        <v>95725</v>
      </c>
      <c r="D10" s="4">
        <v>97403</v>
      </c>
      <c r="E10" s="4">
        <f t="shared" si="0"/>
        <v>193128</v>
      </c>
    </row>
    <row r="11" spans="1:5" x14ac:dyDescent="0.35">
      <c r="A11" s="2">
        <v>9</v>
      </c>
      <c r="B11" s="3" t="s">
        <v>13</v>
      </c>
      <c r="C11" s="4">
        <v>63182</v>
      </c>
      <c r="D11" s="4">
        <v>62785</v>
      </c>
      <c r="E11" s="4">
        <f t="shared" si="0"/>
        <v>125967</v>
      </c>
    </row>
    <row r="12" spans="1:5" x14ac:dyDescent="0.35">
      <c r="A12" s="2">
        <v>10</v>
      </c>
      <c r="B12" s="3" t="s">
        <v>14</v>
      </c>
      <c r="C12" s="4">
        <v>34664</v>
      </c>
      <c r="D12" s="4">
        <v>35128</v>
      </c>
      <c r="E12" s="4">
        <f t="shared" si="0"/>
        <v>69792</v>
      </c>
    </row>
    <row r="13" spans="1:5" x14ac:dyDescent="0.35">
      <c r="A13" s="2">
        <v>11</v>
      </c>
      <c r="B13" s="3" t="s">
        <v>15</v>
      </c>
      <c r="C13" s="4">
        <v>31952</v>
      </c>
      <c r="D13" s="4">
        <v>33907</v>
      </c>
      <c r="E13" s="4">
        <f t="shared" si="0"/>
        <v>65859</v>
      </c>
    </row>
    <row r="14" spans="1:5" x14ac:dyDescent="0.35">
      <c r="A14" s="2">
        <v>12</v>
      </c>
      <c r="B14" s="3" t="s">
        <v>16</v>
      </c>
      <c r="C14" s="4">
        <v>57692</v>
      </c>
      <c r="D14" s="4">
        <v>59128</v>
      </c>
      <c r="E14" s="4">
        <f t="shared" si="0"/>
        <v>116820</v>
      </c>
    </row>
    <row r="15" spans="1:5" x14ac:dyDescent="0.35">
      <c r="A15" s="2">
        <v>13</v>
      </c>
      <c r="B15" s="3" t="s">
        <v>17</v>
      </c>
      <c r="C15" s="4">
        <v>26186</v>
      </c>
      <c r="D15" s="4">
        <v>28510</v>
      </c>
      <c r="E15" s="4">
        <f t="shared" si="0"/>
        <v>54696</v>
      </c>
    </row>
    <row r="16" spans="1:5" x14ac:dyDescent="0.35">
      <c r="A16" s="2">
        <v>14</v>
      </c>
      <c r="B16" s="3" t="s">
        <v>18</v>
      </c>
      <c r="C16" s="4">
        <v>72610</v>
      </c>
      <c r="D16" s="4">
        <v>75275</v>
      </c>
      <c r="E16" s="4">
        <f t="shared" si="0"/>
        <v>147885</v>
      </c>
    </row>
    <row r="17" spans="1:5" x14ac:dyDescent="0.35">
      <c r="A17" s="2">
        <v>15</v>
      </c>
      <c r="B17" s="3" t="s">
        <v>19</v>
      </c>
      <c r="C17" s="4">
        <v>16515</v>
      </c>
      <c r="D17" s="4">
        <v>16433</v>
      </c>
      <c r="E17" s="4">
        <f t="shared" si="0"/>
        <v>32948</v>
      </c>
    </row>
    <row r="18" spans="1:5" x14ac:dyDescent="0.35">
      <c r="A18" s="2">
        <v>16</v>
      </c>
      <c r="B18" s="3" t="s">
        <v>20</v>
      </c>
      <c r="C18" s="4">
        <v>70808</v>
      </c>
      <c r="D18" s="4">
        <v>71323</v>
      </c>
      <c r="E18" s="4">
        <f t="shared" si="0"/>
        <v>142131</v>
      </c>
    </row>
    <row r="19" spans="1:5" x14ac:dyDescent="0.35">
      <c r="A19" s="6" t="s">
        <v>21</v>
      </c>
      <c r="B19" s="6"/>
      <c r="C19" s="5">
        <f>SUM(C3:C18)</f>
        <v>819785</v>
      </c>
      <c r="D19" s="5">
        <f t="shared" ref="D19:E19" si="1">SUM(D3:D18)</f>
        <v>836779</v>
      </c>
      <c r="E19" s="5">
        <f t="shared" si="1"/>
        <v>1656564</v>
      </c>
    </row>
    <row r="20" spans="1:5" x14ac:dyDescent="0.35">
      <c r="A20" s="8" t="s">
        <v>23</v>
      </c>
    </row>
  </sheetData>
  <mergeCells count="2">
    <mergeCell ref="A1:E1"/>
    <mergeCell ref="A19:B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0" sqref="A20"/>
    </sheetView>
  </sheetViews>
  <sheetFormatPr defaultRowHeight="14.5" x14ac:dyDescent="0.35"/>
  <cols>
    <col min="1" max="1" width="3.1796875" bestFit="1" customWidth="1"/>
    <col min="2" max="2" width="15.7265625" bestFit="1" customWidth="1"/>
    <col min="3" max="4" width="10.6328125" customWidth="1"/>
    <col min="5" max="5" width="10.54296875" customWidth="1"/>
  </cols>
  <sheetData>
    <row r="1" spans="1:5" ht="32" customHeight="1" x14ac:dyDescent="0.35">
      <c r="A1" s="7" t="s">
        <v>22</v>
      </c>
      <c r="B1" s="7"/>
      <c r="C1" s="7"/>
      <c r="D1" s="7"/>
      <c r="E1" s="7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</v>
      </c>
      <c r="B3" s="3" t="s">
        <v>5</v>
      </c>
      <c r="C3" s="4">
        <v>42908</v>
      </c>
      <c r="D3" s="4">
        <v>42910</v>
      </c>
      <c r="E3" s="4">
        <f>C3+D3</f>
        <v>85818</v>
      </c>
    </row>
    <row r="4" spans="1:5" x14ac:dyDescent="0.35">
      <c r="A4" s="2">
        <v>2</v>
      </c>
      <c r="B4" s="3" t="s">
        <v>6</v>
      </c>
      <c r="C4" s="4">
        <v>49341</v>
      </c>
      <c r="D4" s="4">
        <v>49333</v>
      </c>
      <c r="E4" s="4">
        <f t="shared" ref="E4:E18" si="0">C4+D4</f>
        <v>98674</v>
      </c>
    </row>
    <row r="5" spans="1:5" x14ac:dyDescent="0.35">
      <c r="A5" s="2">
        <v>3</v>
      </c>
      <c r="B5" s="3" t="s">
        <v>7</v>
      </c>
      <c r="C5" s="4">
        <v>69717</v>
      </c>
      <c r="D5" s="4">
        <v>71602</v>
      </c>
      <c r="E5" s="4">
        <f t="shared" si="0"/>
        <v>141319</v>
      </c>
    </row>
    <row r="6" spans="1:5" x14ac:dyDescent="0.35">
      <c r="A6" s="2">
        <v>4</v>
      </c>
      <c r="B6" s="3" t="s">
        <v>8</v>
      </c>
      <c r="C6" s="4">
        <v>27204</v>
      </c>
      <c r="D6" s="4">
        <v>28286</v>
      </c>
      <c r="E6" s="4">
        <f t="shared" si="0"/>
        <v>55490</v>
      </c>
    </row>
    <row r="7" spans="1:5" x14ac:dyDescent="0.35">
      <c r="A7" s="2">
        <v>5</v>
      </c>
      <c r="B7" s="3" t="s">
        <v>9</v>
      </c>
      <c r="C7" s="4">
        <v>29744</v>
      </c>
      <c r="D7" s="4">
        <v>31468</v>
      </c>
      <c r="E7" s="4">
        <f t="shared" si="0"/>
        <v>61212</v>
      </c>
    </row>
    <row r="8" spans="1:5" x14ac:dyDescent="0.35">
      <c r="A8" s="2">
        <v>6</v>
      </c>
      <c r="B8" s="3" t="s">
        <v>10</v>
      </c>
      <c r="C8" s="4">
        <v>36709</v>
      </c>
      <c r="D8" s="4">
        <v>37752</v>
      </c>
      <c r="E8" s="4">
        <f t="shared" si="0"/>
        <v>74461</v>
      </c>
    </row>
    <row r="9" spans="1:5" x14ac:dyDescent="0.35">
      <c r="A9" s="2">
        <v>7</v>
      </c>
      <c r="B9" s="3" t="s">
        <v>11</v>
      </c>
      <c r="C9" s="4">
        <v>96306</v>
      </c>
      <c r="D9" s="4">
        <v>97174</v>
      </c>
      <c r="E9" s="4">
        <f t="shared" si="0"/>
        <v>193480</v>
      </c>
    </row>
    <row r="10" spans="1:5" x14ac:dyDescent="0.35">
      <c r="A10" s="2">
        <v>8</v>
      </c>
      <c r="B10" s="3" t="s">
        <v>12</v>
      </c>
      <c r="C10" s="4">
        <v>95667</v>
      </c>
      <c r="D10" s="4">
        <v>97458</v>
      </c>
      <c r="E10" s="4">
        <f t="shared" si="0"/>
        <v>193125</v>
      </c>
    </row>
    <row r="11" spans="1:5" x14ac:dyDescent="0.35">
      <c r="A11" s="2">
        <v>9</v>
      </c>
      <c r="B11" s="3" t="s">
        <v>13</v>
      </c>
      <c r="C11" s="4">
        <v>64514</v>
      </c>
      <c r="D11" s="4">
        <v>64182</v>
      </c>
      <c r="E11" s="4">
        <f t="shared" si="0"/>
        <v>128696</v>
      </c>
    </row>
    <row r="12" spans="1:5" x14ac:dyDescent="0.35">
      <c r="A12" s="2">
        <v>10</v>
      </c>
      <c r="B12" s="3" t="s">
        <v>14</v>
      </c>
      <c r="C12" s="4">
        <v>34421</v>
      </c>
      <c r="D12" s="4">
        <v>34913</v>
      </c>
      <c r="E12" s="4">
        <f t="shared" si="0"/>
        <v>69334</v>
      </c>
    </row>
    <row r="13" spans="1:5" x14ac:dyDescent="0.35">
      <c r="A13" s="2">
        <v>11</v>
      </c>
      <c r="B13" s="3" t="s">
        <v>15</v>
      </c>
      <c r="C13" s="4">
        <v>31729</v>
      </c>
      <c r="D13" s="4">
        <v>33698</v>
      </c>
      <c r="E13" s="4">
        <f t="shared" si="0"/>
        <v>65427</v>
      </c>
    </row>
    <row r="14" spans="1:5" x14ac:dyDescent="0.35">
      <c r="A14" s="2">
        <v>12</v>
      </c>
      <c r="B14" s="3" t="s">
        <v>16</v>
      </c>
      <c r="C14" s="4">
        <v>57341</v>
      </c>
      <c r="D14" s="4">
        <v>58713</v>
      </c>
      <c r="E14" s="4">
        <f t="shared" si="0"/>
        <v>116054</v>
      </c>
    </row>
    <row r="15" spans="1:5" x14ac:dyDescent="0.35">
      <c r="A15" s="2">
        <v>13</v>
      </c>
      <c r="B15" s="3" t="s">
        <v>17</v>
      </c>
      <c r="C15" s="4">
        <v>26002</v>
      </c>
      <c r="D15" s="4">
        <v>28336</v>
      </c>
      <c r="E15" s="4">
        <f t="shared" si="0"/>
        <v>54338</v>
      </c>
    </row>
    <row r="16" spans="1:5" x14ac:dyDescent="0.35">
      <c r="A16" s="2">
        <v>14</v>
      </c>
      <c r="B16" s="3" t="s">
        <v>18</v>
      </c>
      <c r="C16" s="4">
        <v>72102</v>
      </c>
      <c r="D16" s="4">
        <v>74813</v>
      </c>
      <c r="E16" s="4">
        <f t="shared" si="0"/>
        <v>146915</v>
      </c>
    </row>
    <row r="17" spans="1:5" x14ac:dyDescent="0.35">
      <c r="A17" s="2">
        <v>15</v>
      </c>
      <c r="B17" s="3" t="s">
        <v>19</v>
      </c>
      <c r="C17" s="4">
        <v>16575</v>
      </c>
      <c r="D17" s="4">
        <v>16504</v>
      </c>
      <c r="E17" s="4">
        <f t="shared" si="0"/>
        <v>33079</v>
      </c>
    </row>
    <row r="18" spans="1:5" x14ac:dyDescent="0.35">
      <c r="A18" s="2">
        <v>16</v>
      </c>
      <c r="B18" s="3" t="s">
        <v>20</v>
      </c>
      <c r="C18" s="4">
        <v>71025</v>
      </c>
      <c r="D18" s="4">
        <v>71528</v>
      </c>
      <c r="E18" s="4">
        <f t="shared" si="0"/>
        <v>142553</v>
      </c>
    </row>
    <row r="19" spans="1:5" x14ac:dyDescent="0.35">
      <c r="A19" s="6" t="s">
        <v>21</v>
      </c>
      <c r="B19" s="6"/>
      <c r="C19" s="5">
        <f>SUM(C3:C18)</f>
        <v>821305</v>
      </c>
      <c r="D19" s="5">
        <f t="shared" ref="D19:E19" si="1">SUM(D3:D18)</f>
        <v>838670</v>
      </c>
      <c r="E19" s="5">
        <f t="shared" si="1"/>
        <v>1659975</v>
      </c>
    </row>
    <row r="20" spans="1:5" x14ac:dyDescent="0.35">
      <c r="A20" s="8" t="s">
        <v>23</v>
      </c>
    </row>
  </sheetData>
  <mergeCells count="2">
    <mergeCell ref="A1:E1"/>
    <mergeCell ref="A19:B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workbookViewId="0">
      <selection activeCell="A20" sqref="A20"/>
    </sheetView>
  </sheetViews>
  <sheetFormatPr defaultRowHeight="14.5" x14ac:dyDescent="0.35"/>
  <cols>
    <col min="1" max="1" width="3.1796875" bestFit="1" customWidth="1"/>
    <col min="2" max="2" width="15.7265625" bestFit="1" customWidth="1"/>
    <col min="3" max="5" width="10.6328125" customWidth="1"/>
  </cols>
  <sheetData>
    <row r="1" spans="1:5" ht="32" customHeight="1" x14ac:dyDescent="0.35">
      <c r="A1" s="7" t="s">
        <v>22</v>
      </c>
      <c r="B1" s="7"/>
      <c r="C1" s="7"/>
      <c r="D1" s="7"/>
      <c r="E1" s="7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</v>
      </c>
      <c r="B3" s="3" t="s">
        <v>5</v>
      </c>
      <c r="C3" s="4">
        <v>44876</v>
      </c>
      <c r="D3" s="4">
        <v>45072</v>
      </c>
      <c r="E3" s="4">
        <f>C3+D3</f>
        <v>89948</v>
      </c>
    </row>
    <row r="4" spans="1:5" x14ac:dyDescent="0.35">
      <c r="A4" s="2">
        <v>2</v>
      </c>
      <c r="B4" s="3" t="s">
        <v>6</v>
      </c>
      <c r="C4" s="4">
        <v>50310</v>
      </c>
      <c r="D4" s="4">
        <v>50442</v>
      </c>
      <c r="E4" s="4">
        <f t="shared" ref="E4:E18" si="0">C4+D4</f>
        <v>100752</v>
      </c>
    </row>
    <row r="5" spans="1:5" x14ac:dyDescent="0.35">
      <c r="A5" s="2">
        <v>3</v>
      </c>
      <c r="B5" s="3" t="s">
        <v>7</v>
      </c>
      <c r="C5" s="4">
        <v>70675</v>
      </c>
      <c r="D5" s="4">
        <v>72758</v>
      </c>
      <c r="E5" s="4">
        <f t="shared" si="0"/>
        <v>143433</v>
      </c>
    </row>
    <row r="6" spans="1:5" x14ac:dyDescent="0.35">
      <c r="A6" s="2">
        <v>4</v>
      </c>
      <c r="B6" s="3" t="s">
        <v>8</v>
      </c>
      <c r="C6" s="4">
        <v>27602</v>
      </c>
      <c r="D6" s="4">
        <v>28748</v>
      </c>
      <c r="E6" s="4">
        <f t="shared" si="0"/>
        <v>56350</v>
      </c>
    </row>
    <row r="7" spans="1:5" x14ac:dyDescent="0.35">
      <c r="A7" s="2">
        <v>5</v>
      </c>
      <c r="B7" s="3" t="s">
        <v>9</v>
      </c>
      <c r="C7" s="4">
        <v>30215</v>
      </c>
      <c r="D7" s="4">
        <v>31964</v>
      </c>
      <c r="E7" s="4">
        <f t="shared" si="0"/>
        <v>62179</v>
      </c>
    </row>
    <row r="8" spans="1:5" x14ac:dyDescent="0.35">
      <c r="A8" s="2">
        <v>6</v>
      </c>
      <c r="B8" s="3" t="s">
        <v>10</v>
      </c>
      <c r="C8" s="4">
        <v>37302</v>
      </c>
      <c r="D8" s="4">
        <v>38312</v>
      </c>
      <c r="E8" s="4">
        <f t="shared" si="0"/>
        <v>75614</v>
      </c>
    </row>
    <row r="9" spans="1:5" x14ac:dyDescent="0.35">
      <c r="A9" s="2">
        <v>7</v>
      </c>
      <c r="B9" s="3" t="s">
        <v>11</v>
      </c>
      <c r="C9" s="4">
        <v>98833</v>
      </c>
      <c r="D9" s="4">
        <v>100029</v>
      </c>
      <c r="E9" s="4">
        <f t="shared" si="0"/>
        <v>198862</v>
      </c>
    </row>
    <row r="10" spans="1:5" x14ac:dyDescent="0.35">
      <c r="A10" s="2">
        <v>8</v>
      </c>
      <c r="B10" s="3" t="s">
        <v>12</v>
      </c>
      <c r="C10" s="4">
        <v>97167</v>
      </c>
      <c r="D10" s="4">
        <v>99359</v>
      </c>
      <c r="E10" s="4">
        <f t="shared" si="0"/>
        <v>196526</v>
      </c>
    </row>
    <row r="11" spans="1:5" x14ac:dyDescent="0.35">
      <c r="A11" s="2">
        <v>9</v>
      </c>
      <c r="B11" s="3" t="s">
        <v>13</v>
      </c>
      <c r="C11" s="4">
        <v>66946</v>
      </c>
      <c r="D11" s="4">
        <v>65527</v>
      </c>
      <c r="E11" s="4">
        <f t="shared" si="0"/>
        <v>132473</v>
      </c>
    </row>
    <row r="12" spans="1:5" x14ac:dyDescent="0.35">
      <c r="A12" s="2">
        <v>10</v>
      </c>
      <c r="B12" s="3" t="s">
        <v>14</v>
      </c>
      <c r="C12" s="4">
        <v>34998</v>
      </c>
      <c r="D12" s="4">
        <v>35411</v>
      </c>
      <c r="E12" s="4">
        <f t="shared" si="0"/>
        <v>70409</v>
      </c>
    </row>
    <row r="13" spans="1:5" x14ac:dyDescent="0.35">
      <c r="A13" s="2">
        <v>11</v>
      </c>
      <c r="B13" s="3" t="s">
        <v>15</v>
      </c>
      <c r="C13" s="4">
        <v>32261</v>
      </c>
      <c r="D13" s="4">
        <v>34220</v>
      </c>
      <c r="E13" s="4">
        <f t="shared" si="0"/>
        <v>66481</v>
      </c>
    </row>
    <row r="14" spans="1:5" x14ac:dyDescent="0.35">
      <c r="A14" s="2">
        <v>12</v>
      </c>
      <c r="B14" s="3" t="s">
        <v>16</v>
      </c>
      <c r="C14" s="4">
        <v>58194</v>
      </c>
      <c r="D14" s="4">
        <v>59693</v>
      </c>
      <c r="E14" s="4">
        <f t="shared" si="0"/>
        <v>117887</v>
      </c>
    </row>
    <row r="15" spans="1:5" x14ac:dyDescent="0.35">
      <c r="A15" s="2">
        <v>13</v>
      </c>
      <c r="B15" s="3" t="s">
        <v>17</v>
      </c>
      <c r="C15" s="4">
        <v>26438</v>
      </c>
      <c r="D15" s="4">
        <v>28775</v>
      </c>
      <c r="E15" s="4">
        <f t="shared" si="0"/>
        <v>55213</v>
      </c>
    </row>
    <row r="16" spans="1:5" x14ac:dyDescent="0.35">
      <c r="A16" s="2">
        <v>14</v>
      </c>
      <c r="B16" s="3" t="s">
        <v>18</v>
      </c>
      <c r="C16" s="4">
        <v>73311</v>
      </c>
      <c r="D16" s="4">
        <v>76015</v>
      </c>
      <c r="E16" s="4">
        <f t="shared" si="0"/>
        <v>149326</v>
      </c>
    </row>
    <row r="17" spans="1:5" x14ac:dyDescent="0.35">
      <c r="A17" s="2">
        <v>15</v>
      </c>
      <c r="B17" s="3" t="s">
        <v>19</v>
      </c>
      <c r="C17" s="4">
        <v>16906</v>
      </c>
      <c r="D17" s="4">
        <v>16889</v>
      </c>
      <c r="E17" s="4">
        <f t="shared" si="0"/>
        <v>33795</v>
      </c>
    </row>
    <row r="18" spans="1:5" x14ac:dyDescent="0.35">
      <c r="A18" s="2">
        <v>16</v>
      </c>
      <c r="B18" s="3" t="s">
        <v>20</v>
      </c>
      <c r="C18" s="4">
        <v>72403</v>
      </c>
      <c r="D18" s="4">
        <v>73092</v>
      </c>
      <c r="E18" s="4">
        <f t="shared" si="0"/>
        <v>145495</v>
      </c>
    </row>
    <row r="19" spans="1:5" x14ac:dyDescent="0.35">
      <c r="A19" s="6" t="s">
        <v>21</v>
      </c>
      <c r="B19" s="6"/>
      <c r="C19" s="5">
        <f>SUM(C3:C18)</f>
        <v>838437</v>
      </c>
      <c r="D19" s="5">
        <f t="shared" ref="D19:E19" si="1">SUM(D3:D18)</f>
        <v>856306</v>
      </c>
      <c r="E19" s="5">
        <f t="shared" si="1"/>
        <v>1694743</v>
      </c>
    </row>
    <row r="20" spans="1:5" x14ac:dyDescent="0.35">
      <c r="A20" s="8" t="s">
        <v>23</v>
      </c>
    </row>
  </sheetData>
  <mergeCells count="2">
    <mergeCell ref="A1:E1"/>
    <mergeCell ref="A19:B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Views>
    <sheetView tabSelected="1" workbookViewId="0">
      <selection activeCell="F17" sqref="F17"/>
    </sheetView>
  </sheetViews>
  <sheetFormatPr defaultRowHeight="14.5" x14ac:dyDescent="0.35"/>
  <cols>
    <col min="1" max="1" width="3.1796875" bestFit="1" customWidth="1"/>
    <col min="2" max="2" width="15.7265625" bestFit="1" customWidth="1"/>
    <col min="3" max="3" width="10.6328125" customWidth="1"/>
    <col min="4" max="4" width="10.54296875" customWidth="1"/>
    <col min="5" max="5" width="10.6328125" customWidth="1"/>
  </cols>
  <sheetData>
    <row r="1" spans="1:5" ht="32" customHeight="1" x14ac:dyDescent="0.35">
      <c r="A1" s="7" t="s">
        <v>22</v>
      </c>
      <c r="B1" s="7"/>
      <c r="C1" s="7"/>
      <c r="D1" s="7"/>
      <c r="E1" s="7"/>
    </row>
    <row r="2" spans="1: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x14ac:dyDescent="0.35">
      <c r="A3" s="2">
        <v>1</v>
      </c>
      <c r="B3" s="3" t="s">
        <v>5</v>
      </c>
      <c r="C3" s="4">
        <v>46420</v>
      </c>
      <c r="D3" s="4">
        <v>46668</v>
      </c>
      <c r="E3" s="4">
        <f>C3+D3</f>
        <v>93088</v>
      </c>
    </row>
    <row r="4" spans="1:5" x14ac:dyDescent="0.35">
      <c r="A4" s="2">
        <v>2</v>
      </c>
      <c r="B4" s="3" t="s">
        <v>6</v>
      </c>
      <c r="C4" s="4">
        <v>50735</v>
      </c>
      <c r="D4" s="4">
        <v>50842</v>
      </c>
      <c r="E4" s="4">
        <f t="shared" ref="E4:E18" si="0">C4+D4</f>
        <v>101577</v>
      </c>
    </row>
    <row r="5" spans="1:5" x14ac:dyDescent="0.35">
      <c r="A5" s="2">
        <v>3</v>
      </c>
      <c r="B5" s="3" t="s">
        <v>7</v>
      </c>
      <c r="C5" s="4">
        <v>70861</v>
      </c>
      <c r="D5" s="4">
        <v>72885</v>
      </c>
      <c r="E5" s="4">
        <f t="shared" si="0"/>
        <v>143746</v>
      </c>
    </row>
    <row r="6" spans="1:5" x14ac:dyDescent="0.35">
      <c r="A6" s="2">
        <v>4</v>
      </c>
      <c r="B6" s="3" t="s">
        <v>8</v>
      </c>
      <c r="C6" s="4">
        <v>27600</v>
      </c>
      <c r="D6" s="4">
        <v>28734</v>
      </c>
      <c r="E6" s="4">
        <f t="shared" si="0"/>
        <v>56334</v>
      </c>
    </row>
    <row r="7" spans="1:5" x14ac:dyDescent="0.35">
      <c r="A7" s="2">
        <v>5</v>
      </c>
      <c r="B7" s="3" t="s">
        <v>9</v>
      </c>
      <c r="C7" s="4">
        <v>30224</v>
      </c>
      <c r="D7" s="4">
        <v>31794</v>
      </c>
      <c r="E7" s="4">
        <f t="shared" si="0"/>
        <v>62018</v>
      </c>
    </row>
    <row r="8" spans="1:5" x14ac:dyDescent="0.35">
      <c r="A8" s="2">
        <v>6</v>
      </c>
      <c r="B8" s="3" t="s">
        <v>10</v>
      </c>
      <c r="C8" s="4">
        <v>37317</v>
      </c>
      <c r="D8" s="4">
        <v>38125</v>
      </c>
      <c r="E8" s="4">
        <f t="shared" si="0"/>
        <v>75442</v>
      </c>
    </row>
    <row r="9" spans="1:5" x14ac:dyDescent="0.35">
      <c r="A9" s="2">
        <v>7</v>
      </c>
      <c r="B9" s="3" t="s">
        <v>11</v>
      </c>
      <c r="C9" s="4">
        <v>100313</v>
      </c>
      <c r="D9" s="4">
        <v>101508</v>
      </c>
      <c r="E9" s="4">
        <f t="shared" si="0"/>
        <v>201821</v>
      </c>
    </row>
    <row r="10" spans="1:5" x14ac:dyDescent="0.35">
      <c r="A10" s="2">
        <v>8</v>
      </c>
      <c r="B10" s="3" t="s">
        <v>12</v>
      </c>
      <c r="C10" s="4">
        <v>97609</v>
      </c>
      <c r="D10" s="4">
        <v>99859</v>
      </c>
      <c r="E10" s="4">
        <f t="shared" si="0"/>
        <v>197468</v>
      </c>
    </row>
    <row r="11" spans="1:5" x14ac:dyDescent="0.35">
      <c r="A11" s="2">
        <v>9</v>
      </c>
      <c r="B11" s="3" t="s">
        <v>13</v>
      </c>
      <c r="C11" s="4">
        <v>68709</v>
      </c>
      <c r="D11" s="4">
        <v>68647</v>
      </c>
      <c r="E11" s="4">
        <f t="shared" si="0"/>
        <v>137356</v>
      </c>
    </row>
    <row r="12" spans="1:5" x14ac:dyDescent="0.35">
      <c r="A12" s="2">
        <v>10</v>
      </c>
      <c r="B12" s="3" t="s">
        <v>14</v>
      </c>
      <c r="C12" s="4">
        <v>35019</v>
      </c>
      <c r="D12" s="4">
        <v>35369</v>
      </c>
      <c r="E12" s="4">
        <f t="shared" si="0"/>
        <v>70388</v>
      </c>
    </row>
    <row r="13" spans="1:5" x14ac:dyDescent="0.35">
      <c r="A13" s="2">
        <v>11</v>
      </c>
      <c r="B13" s="3" t="s">
        <v>15</v>
      </c>
      <c r="C13" s="4">
        <v>32280</v>
      </c>
      <c r="D13" s="4">
        <v>34195</v>
      </c>
      <c r="E13" s="4">
        <f t="shared" si="0"/>
        <v>66475</v>
      </c>
    </row>
    <row r="14" spans="1:5" x14ac:dyDescent="0.35">
      <c r="A14" s="2">
        <v>12</v>
      </c>
      <c r="B14" s="3" t="s">
        <v>16</v>
      </c>
      <c r="C14" s="4">
        <v>58229</v>
      </c>
      <c r="D14" s="4">
        <v>59636</v>
      </c>
      <c r="E14" s="4">
        <f t="shared" si="0"/>
        <v>117865</v>
      </c>
    </row>
    <row r="15" spans="1:5" x14ac:dyDescent="0.35">
      <c r="A15" s="2">
        <v>13</v>
      </c>
      <c r="B15" s="3" t="s">
        <v>17</v>
      </c>
      <c r="C15" s="4">
        <v>26454</v>
      </c>
      <c r="D15" s="4">
        <v>28754</v>
      </c>
      <c r="E15" s="4">
        <f t="shared" si="0"/>
        <v>55208</v>
      </c>
    </row>
    <row r="16" spans="1:5" x14ac:dyDescent="0.35">
      <c r="A16" s="2">
        <v>14</v>
      </c>
      <c r="B16" s="3" t="s">
        <v>18</v>
      </c>
      <c r="C16" s="4">
        <v>73355</v>
      </c>
      <c r="D16" s="4">
        <v>75972</v>
      </c>
      <c r="E16" s="4">
        <f t="shared" si="0"/>
        <v>149327</v>
      </c>
    </row>
    <row r="17" spans="1:5" x14ac:dyDescent="0.35">
      <c r="A17" s="2">
        <v>15</v>
      </c>
      <c r="B17" s="3" t="s">
        <v>19</v>
      </c>
      <c r="C17" s="4">
        <v>17054</v>
      </c>
      <c r="D17" s="4">
        <v>17038</v>
      </c>
      <c r="E17" s="4">
        <f t="shared" si="0"/>
        <v>34092</v>
      </c>
    </row>
    <row r="18" spans="1:5" x14ac:dyDescent="0.35">
      <c r="A18" s="2">
        <v>16</v>
      </c>
      <c r="B18" s="3" t="s">
        <v>20</v>
      </c>
      <c r="C18" s="4">
        <v>72998</v>
      </c>
      <c r="D18" s="4">
        <v>73630</v>
      </c>
      <c r="E18" s="4">
        <f t="shared" si="0"/>
        <v>146628</v>
      </c>
    </row>
    <row r="19" spans="1:5" x14ac:dyDescent="0.35">
      <c r="A19" s="6" t="s">
        <v>21</v>
      </c>
      <c r="B19" s="6"/>
      <c r="C19" s="5">
        <f>SUM(C3:C18)</f>
        <v>845177</v>
      </c>
      <c r="D19" s="5">
        <f t="shared" ref="D19:E19" si="1">SUM(D3:D18)</f>
        <v>863656</v>
      </c>
      <c r="E19" s="5">
        <f t="shared" si="1"/>
        <v>1708833</v>
      </c>
    </row>
    <row r="20" spans="1:5" x14ac:dyDescent="0.35">
      <c r="A20" s="8" t="s">
        <v>23</v>
      </c>
    </row>
  </sheetData>
  <mergeCells count="2">
    <mergeCell ref="A1:E1"/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ardiansyah</dc:creator>
  <cp:lastModifiedBy>bayu ardiansyah</cp:lastModifiedBy>
  <dcterms:created xsi:type="dcterms:W3CDTF">2025-04-11T01:28:31Z</dcterms:created>
  <dcterms:modified xsi:type="dcterms:W3CDTF">2025-04-11T07:24:39Z</dcterms:modified>
</cp:coreProperties>
</file>