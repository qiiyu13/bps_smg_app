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4"/>
    <sheet state="visible" name="2021" sheetId="2" r:id="rId5"/>
    <sheet state="visible" name="2022" sheetId="3" r:id="rId6"/>
    <sheet state="visible" name="2023" sheetId="4" r:id="rId7"/>
    <sheet state="visible" name="2024" sheetId="5" r:id="rId8"/>
    <sheet state="visible" name="2025" sheetId="6" r:id="rId9"/>
  </sheets>
  <definedNames/>
  <calcPr/>
  <extLst>
    <ext uri="GoogleSheetsCustomDataVersion2">
      <go:sheetsCustomData xmlns:go="http://customooxmlschemas.google.com/" r:id="rId10" roundtripDataChecksum="P8Xq5OivqFP1qKre78CqC0sqfS8AIh1hvVYy+KigVNc="/>
    </ext>
  </extLst>
</workbook>
</file>

<file path=xl/sharedStrings.xml><?xml version="1.0" encoding="utf-8"?>
<sst xmlns="http://schemas.openxmlformats.org/spreadsheetml/2006/main" count="205" uniqueCount="27">
  <si>
    <t>Persentase Penduduk Usia Kerja/PUK (15+ tahun)
Kota Semarang Menurut Kegiatan dan Jenis Kelamin</t>
  </si>
  <si>
    <t>Jenis Kegiatan</t>
  </si>
  <si>
    <t>Laki-Laki</t>
  </si>
  <si>
    <t>Perempuan</t>
  </si>
  <si>
    <t>Jumlah</t>
  </si>
  <si>
    <t>Jumlah(%)</t>
  </si>
  <si>
    <t>Angkatan Kerja</t>
  </si>
  <si>
    <t>- Bekerja</t>
  </si>
  <si>
    <t>Jumlah Pekerja menurut Lapangan Pekerjaan Utama dan Jenis Kelamin</t>
  </si>
  <si>
    <t>- Pengangguran Terbuka</t>
  </si>
  <si>
    <t>Bukan Angkatan Kerja</t>
  </si>
  <si>
    <t>Pertanian</t>
  </si>
  <si>
    <t>- Sekolah</t>
  </si>
  <si>
    <t>Manufaktur</t>
  </si>
  <si>
    <t>- Mengurus Rumah Tangga</t>
  </si>
  <si>
    <t>Jasa</t>
  </si>
  <si>
    <t>- Lainnya</t>
  </si>
  <si>
    <t>Total</t>
  </si>
  <si>
    <t>Total Penduduk Usia Kerja</t>
  </si>
  <si>
    <t>TPT(Tingkat pengangguran terbuka)</t>
  </si>
  <si>
    <t>TKK(Tingkat kesempatan kerja)</t>
  </si>
  <si>
    <t>TPAK(Tingkat partisipasi angkatan kerja)</t>
  </si>
  <si>
    <t>Sumber: BPS, Survei Angkatan Kerja Nasional (Sakernas) Agustus</t>
  </si>
  <si>
    <t>DISTRIBUSI KARAKTERISTIK PENDUDUK BEKERJA MENURUT LAPANGAN USAHA DI KOTA SEMARANG</t>
  </si>
  <si>
    <t xml:space="preserve">Uraian </t>
  </si>
  <si>
    <t>Angka Dependency Ratio Penduduk Kota Semarang</t>
  </si>
  <si>
    <t>Angka Dependency Ratio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</si>
</sst>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b/>
      <sz val="11.0"/>
      <color rgb="FFFFFFFF"/>
      <name val="Calibri"/>
    </font>
    <font>
      <sz val="8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227ACB"/>
        <bgColor rgb="FF227ACB"/>
      </patternFill>
    </fill>
    <fill>
      <patternFill patternType="solid">
        <fgColor rgb="FFF4B083"/>
        <bgColor rgb="FFF4B083"/>
      </patternFill>
    </fill>
    <fill>
      <patternFill patternType="solid">
        <fgColor rgb="FFCCCCCC"/>
        <bgColor rgb="FFCCCCC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2" fontId="1" numFmtId="0" xfId="0" applyAlignment="1" applyBorder="1" applyFill="1" applyFont="1">
      <alignment horizontal="center" vertical="center"/>
    </xf>
    <xf borderId="4" fillId="2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left" vertical="center"/>
    </xf>
    <xf borderId="4" fillId="0" fontId="1" numFmtId="3" xfId="0" applyAlignment="1" applyBorder="1" applyFont="1" applyNumberFormat="1">
      <alignment vertical="center"/>
    </xf>
    <xf borderId="4" fillId="0" fontId="1" numFmtId="2" xfId="0" applyBorder="1" applyFont="1" applyNumberFormat="1"/>
    <xf quotePrefix="1" borderId="4" fillId="0" fontId="3" numFmtId="0" xfId="0" applyAlignment="1" applyBorder="1" applyFont="1">
      <alignment horizontal="left" vertical="center"/>
    </xf>
    <xf borderId="4" fillId="0" fontId="3" numFmtId="3" xfId="0" applyAlignment="1" applyBorder="1" applyFont="1" applyNumberFormat="1">
      <alignment vertical="center"/>
    </xf>
    <xf borderId="4" fillId="0" fontId="3" numFmtId="2" xfId="0" applyBorder="1" applyFont="1" applyNumberFormat="1"/>
    <xf borderId="5" fillId="3" fontId="4" numFmtId="0" xfId="0" applyAlignment="1" applyBorder="1" applyFill="1" applyFont="1">
      <alignment shrinkToFit="0" wrapText="1"/>
    </xf>
    <xf borderId="0" fillId="0" fontId="3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horizontal="right" vertical="bottom"/>
    </xf>
    <xf borderId="5" fillId="4" fontId="3" numFmtId="0" xfId="0" applyAlignment="1" applyBorder="1" applyFill="1" applyFont="1">
      <alignment shrinkToFit="0" wrapText="1"/>
    </xf>
    <xf borderId="5" fillId="4" fontId="3" numFmtId="0" xfId="0" applyAlignment="1" applyBorder="1" applyFont="1">
      <alignment vertical="bottom"/>
    </xf>
    <xf borderId="5" fillId="4" fontId="3" numFmtId="164" xfId="0" applyAlignment="1" applyBorder="1" applyFont="1" applyNumberFormat="1">
      <alignment horizontal="right" vertical="bottom"/>
    </xf>
    <xf borderId="0" fillId="5" fontId="3" numFmtId="3" xfId="0" applyAlignment="1" applyFill="1" applyFont="1" applyNumberFormat="1">
      <alignment horizontal="right" shrinkToFit="0" vertical="bottom" wrapText="1"/>
    </xf>
    <xf borderId="5" fillId="4" fontId="3" numFmtId="0" xfId="0" applyAlignment="1" applyBorder="1" applyFont="1">
      <alignment horizontal="right" vertical="bottom"/>
    </xf>
    <xf borderId="4" fillId="2" fontId="1" numFmtId="0" xfId="0" applyAlignment="1" applyBorder="1" applyFont="1">
      <alignment horizontal="left" vertical="center"/>
    </xf>
    <xf borderId="4" fillId="2" fontId="1" numFmtId="2" xfId="0" applyBorder="1" applyFont="1" applyNumberFormat="1"/>
    <xf borderId="4" fillId="0" fontId="1" numFmtId="0" xfId="0" applyAlignment="1" applyBorder="1" applyFont="1">
      <alignment horizontal="left" readingOrder="0" vertical="center"/>
    </xf>
    <xf borderId="4" fillId="0" fontId="3" numFmtId="4" xfId="0" applyAlignment="1" applyBorder="1" applyFont="1" applyNumberFormat="1">
      <alignment vertical="center"/>
    </xf>
    <xf borderId="6" fillId="0" fontId="5" numFmtId="0" xfId="0" applyAlignment="1" applyBorder="1" applyFont="1">
      <alignment horizontal="left" vertical="center"/>
    </xf>
    <xf borderId="0" fillId="0" fontId="6" numFmtId="0" xfId="0" applyAlignment="1" applyFont="1">
      <alignment horizontal="center" readingOrder="0" shrinkToFit="0" wrapText="1"/>
    </xf>
    <xf borderId="4" fillId="0" fontId="7" numFmtId="0" xfId="0" applyAlignment="1" applyBorder="1" applyFont="1">
      <alignment readingOrder="0"/>
    </xf>
    <xf borderId="4" fillId="0" fontId="7" numFmtId="0" xfId="0" applyBorder="1" applyFont="1"/>
    <xf borderId="4" fillId="4" fontId="3" numFmtId="0" xfId="0" applyAlignment="1" applyBorder="1" applyFont="1">
      <alignment shrinkToFit="0" wrapText="1"/>
    </xf>
    <xf borderId="4" fillId="0" fontId="7" numFmtId="2" xfId="0" applyBorder="1" applyFont="1" applyNumberFormat="1"/>
    <xf borderId="0" fillId="0" fontId="1" numFmtId="0" xfId="0" applyAlignment="1" applyFont="1">
      <alignment horizontal="center" vertical="bottom"/>
    </xf>
    <xf borderId="4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4" fillId="0" fontId="3" numFmtId="0" xfId="0" applyAlignment="1" applyBorder="1" applyFont="1">
      <alignment horizontal="center" shrinkToFit="0" vertical="bottom" wrapText="1"/>
    </xf>
    <xf borderId="0" fillId="0" fontId="3" numFmtId="2" xfId="0" applyFont="1" applyNumberFormat="1"/>
    <xf borderId="4" fillId="0" fontId="1" numFmtId="3" xfId="0" applyAlignment="1" applyBorder="1" applyFont="1" applyNumberFormat="1">
      <alignment readingOrder="0" vertical="center"/>
    </xf>
    <xf borderId="4" fillId="0" fontId="3" numFmtId="3" xfId="0" applyAlignment="1" applyBorder="1" applyFont="1" applyNumberFormat="1">
      <alignment readingOrder="0" vertical="center"/>
    </xf>
    <xf borderId="4" fillId="0" fontId="3" numFmtId="4" xfId="0" applyAlignment="1" applyBorder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29"/>
    <col customWidth="1" min="2" max="4" width="10.57"/>
    <col customWidth="1" min="5" max="5" width="8.71"/>
    <col customWidth="1" min="6" max="6" width="39.29"/>
    <col customWidth="1" min="7" max="9" width="10.57"/>
    <col customWidth="1" min="10" max="12" width="8.71"/>
    <col customWidth="1" hidden="1" min="13" max="20" width="8.71"/>
    <col customWidth="1" min="21" max="26" width="8.71"/>
  </cols>
  <sheetData>
    <row r="1" ht="34.5" customHeight="1">
      <c r="A1" s="1"/>
      <c r="B1" s="2"/>
      <c r="C1" s="2"/>
      <c r="D1" s="3"/>
      <c r="F1" s="1" t="s">
        <v>0</v>
      </c>
      <c r="G1" s="2"/>
      <c r="H1" s="2"/>
      <c r="I1" s="3"/>
    </row>
    <row r="2" ht="14.25" customHeight="1">
      <c r="A2" s="4" t="s">
        <v>1</v>
      </c>
      <c r="B2" s="4" t="s">
        <v>2</v>
      </c>
      <c r="C2" s="4" t="s">
        <v>3</v>
      </c>
      <c r="D2" s="4" t="s">
        <v>4</v>
      </c>
      <c r="F2" s="5" t="s">
        <v>1</v>
      </c>
      <c r="G2" s="5" t="s">
        <v>2</v>
      </c>
      <c r="H2" s="5" t="s">
        <v>3</v>
      </c>
      <c r="I2" s="6" t="s">
        <v>5</v>
      </c>
    </row>
    <row r="3" ht="14.25" customHeight="1">
      <c r="A3" s="7" t="s">
        <v>6</v>
      </c>
      <c r="B3" s="8">
        <f t="shared" ref="B3:D3" si="1">SUM(B4:B5)</f>
        <v>568201</v>
      </c>
      <c r="C3" s="8">
        <f t="shared" si="1"/>
        <v>455763</v>
      </c>
      <c r="D3" s="8">
        <f t="shared" si="1"/>
        <v>1023964</v>
      </c>
      <c r="F3" s="7" t="s">
        <v>6</v>
      </c>
      <c r="G3" s="9">
        <f>(B3/$B$10)*$G$10</f>
        <v>38.78184805</v>
      </c>
      <c r="H3" s="9">
        <f>(C3/$C$10)*$H$10</f>
        <v>31.1075331</v>
      </c>
      <c r="I3" s="9">
        <f>(D3/$D$10)*$I$10</f>
        <v>69.88938115</v>
      </c>
    </row>
    <row r="4" ht="14.25" customHeight="1">
      <c r="A4" s="10" t="s">
        <v>7</v>
      </c>
      <c r="B4" s="11">
        <v>510953.0</v>
      </c>
      <c r="C4" s="11">
        <v>415010.0</v>
      </c>
      <c r="D4" s="11">
        <v>925963.0</v>
      </c>
      <c r="F4" s="10" t="s">
        <v>7</v>
      </c>
      <c r="G4" s="12">
        <f t="shared" ref="G4:G5" si="2">(B4/$B$3)*$G$3</f>
        <v>34.87445747</v>
      </c>
      <c r="H4" s="12">
        <f t="shared" ref="H4:H5" si="3">(C4/$C$3)*$H$3</f>
        <v>28.32598809</v>
      </c>
      <c r="I4" s="12">
        <f t="shared" ref="I4:I5" si="4">(D4/$D$3)*$I$3</f>
        <v>63.20044556</v>
      </c>
      <c r="N4" s="13" t="s">
        <v>8</v>
      </c>
      <c r="O4" s="14"/>
      <c r="P4" s="14"/>
      <c r="Q4" s="14"/>
      <c r="R4" s="14"/>
      <c r="S4" s="14"/>
      <c r="T4" s="14"/>
    </row>
    <row r="5" ht="14.25" customHeight="1">
      <c r="A5" s="10" t="s">
        <v>9</v>
      </c>
      <c r="B5" s="11">
        <v>57248.0</v>
      </c>
      <c r="C5" s="11">
        <v>40753.0</v>
      </c>
      <c r="D5" s="11">
        <v>98001.0</v>
      </c>
      <c r="F5" s="10" t="s">
        <v>9</v>
      </c>
      <c r="G5" s="12">
        <f t="shared" si="2"/>
        <v>3.907390584</v>
      </c>
      <c r="H5" s="12">
        <f t="shared" si="3"/>
        <v>2.781545005</v>
      </c>
      <c r="I5" s="12">
        <f t="shared" si="4"/>
        <v>6.68893559</v>
      </c>
      <c r="N5" s="15"/>
      <c r="O5" s="16">
        <v>2019.0</v>
      </c>
      <c r="P5" s="16">
        <v>2020.0</v>
      </c>
      <c r="Q5" s="16">
        <v>2021.0</v>
      </c>
      <c r="R5" s="16">
        <v>2022.0</v>
      </c>
      <c r="S5" s="16">
        <v>2023.0</v>
      </c>
      <c r="T5" s="16">
        <v>2024.0</v>
      </c>
    </row>
    <row r="6" ht="14.25" customHeight="1">
      <c r="A6" s="7" t="s">
        <v>10</v>
      </c>
      <c r="B6" s="8">
        <f t="shared" ref="B6:D6" si="5">SUM(B7:B9)</f>
        <v>143319</v>
      </c>
      <c r="C6" s="8">
        <f t="shared" si="5"/>
        <v>297838</v>
      </c>
      <c r="D6" s="8">
        <f t="shared" si="5"/>
        <v>441157</v>
      </c>
      <c r="F6" s="7" t="s">
        <v>10</v>
      </c>
      <c r="G6" s="9">
        <f>(B6/$B$10)*$G$10</f>
        <v>9.782058956</v>
      </c>
      <c r="H6" s="9">
        <f>(C6/$C$10)*$H$10</f>
        <v>20.32855989</v>
      </c>
      <c r="I6" s="9">
        <f>(D6/$D$10)*$I$10</f>
        <v>30.11061885</v>
      </c>
      <c r="N6" s="17" t="s">
        <v>11</v>
      </c>
      <c r="O6" s="18"/>
      <c r="P6" s="19">
        <v>14815.0</v>
      </c>
      <c r="Q6" s="19">
        <v>14041.0</v>
      </c>
      <c r="R6" s="19">
        <v>14514.0</v>
      </c>
      <c r="S6" s="19">
        <v>19563.0</v>
      </c>
      <c r="T6" s="20">
        <v>19571.0</v>
      </c>
    </row>
    <row r="7" ht="14.25" customHeight="1">
      <c r="A7" s="10" t="s">
        <v>12</v>
      </c>
      <c r="B7" s="11">
        <v>71282.0</v>
      </c>
      <c r="C7" s="11">
        <v>80256.0</v>
      </c>
      <c r="D7" s="11">
        <v>151538.0</v>
      </c>
      <c r="F7" s="10" t="s">
        <v>12</v>
      </c>
      <c r="G7" s="12">
        <f t="shared" ref="G7:G9" si="6">(B7/$B$6)*$G$6</f>
        <v>4.865263688</v>
      </c>
      <c r="H7" s="12">
        <f t="shared" ref="H7:H9" si="7">(C7/$C$6)*$H$6</f>
        <v>5.477772826</v>
      </c>
      <c r="I7" s="12">
        <f t="shared" ref="I7:I9" si="8">(D7/$D$6)*$I$6</f>
        <v>10.34303651</v>
      </c>
      <c r="N7" s="17" t="s">
        <v>13</v>
      </c>
      <c r="O7" s="18"/>
      <c r="P7" s="19">
        <v>238806.0</v>
      </c>
      <c r="Q7" s="19">
        <v>246001.0</v>
      </c>
      <c r="R7" s="19">
        <v>281030.0</v>
      </c>
      <c r="S7" s="19">
        <v>229256.0</v>
      </c>
      <c r="T7" s="20">
        <v>246372.0</v>
      </c>
    </row>
    <row r="8" ht="14.25" customHeight="1">
      <c r="A8" s="10" t="s">
        <v>14</v>
      </c>
      <c r="B8" s="11">
        <v>35547.0</v>
      </c>
      <c r="C8" s="11">
        <v>196661.0</v>
      </c>
      <c r="D8" s="11">
        <v>232208.0</v>
      </c>
      <c r="F8" s="10" t="s">
        <v>14</v>
      </c>
      <c r="G8" s="12">
        <f t="shared" si="6"/>
        <v>2.426215992</v>
      </c>
      <c r="H8" s="12">
        <f t="shared" si="7"/>
        <v>13.4228504</v>
      </c>
      <c r="I8" s="12">
        <f t="shared" si="8"/>
        <v>15.84906639</v>
      </c>
      <c r="N8" s="17" t="s">
        <v>15</v>
      </c>
      <c r="O8" s="18"/>
      <c r="P8" s="19">
        <v>672342.0</v>
      </c>
      <c r="Q8" s="19">
        <v>676034.0</v>
      </c>
      <c r="R8" s="19">
        <v>698548.0</v>
      </c>
      <c r="S8" s="19">
        <v>624538.0</v>
      </c>
      <c r="T8" s="20">
        <v>625554.0</v>
      </c>
    </row>
    <row r="9" ht="14.25" customHeight="1">
      <c r="A9" s="10" t="s">
        <v>16</v>
      </c>
      <c r="B9" s="11">
        <v>36490.0</v>
      </c>
      <c r="C9" s="11">
        <v>20921.0</v>
      </c>
      <c r="D9" s="11">
        <v>57411.0</v>
      </c>
      <c r="F9" s="10" t="s">
        <v>16</v>
      </c>
      <c r="G9" s="12">
        <f t="shared" si="6"/>
        <v>2.490579276</v>
      </c>
      <c r="H9" s="12">
        <f t="shared" si="7"/>
        <v>1.427936669</v>
      </c>
      <c r="I9" s="12">
        <f t="shared" si="8"/>
        <v>3.918515945</v>
      </c>
      <c r="N9" s="17" t="s">
        <v>17</v>
      </c>
      <c r="O9" s="21">
        <v>0.0</v>
      </c>
      <c r="P9" s="19">
        <f t="shared" ref="P9:T9" si="9">P6+P7+P8</f>
        <v>925963</v>
      </c>
      <c r="Q9" s="19">
        <f t="shared" si="9"/>
        <v>936076</v>
      </c>
      <c r="R9" s="19">
        <f t="shared" si="9"/>
        <v>994092</v>
      </c>
      <c r="S9" s="19">
        <f t="shared" si="9"/>
        <v>873357</v>
      </c>
      <c r="T9" s="20">
        <f t="shared" si="9"/>
        <v>891497</v>
      </c>
    </row>
    <row r="10" ht="14.25" customHeight="1">
      <c r="A10" s="7" t="s">
        <v>18</v>
      </c>
      <c r="B10" s="8">
        <f t="shared" ref="B10:D10" si="10">B3+B6</f>
        <v>711520</v>
      </c>
      <c r="C10" s="8">
        <f t="shared" si="10"/>
        <v>753601</v>
      </c>
      <c r="D10" s="8">
        <f t="shared" si="10"/>
        <v>1465121</v>
      </c>
      <c r="F10" s="22" t="s">
        <v>18</v>
      </c>
      <c r="G10" s="23">
        <f t="shared" ref="G10:H10" si="11">(B10/$D$10)*100</f>
        <v>48.56390701</v>
      </c>
      <c r="H10" s="23">
        <f t="shared" si="11"/>
        <v>51.43609299</v>
      </c>
      <c r="I10" s="23">
        <f>G10+H10</f>
        <v>100</v>
      </c>
    </row>
    <row r="11" ht="14.25" customHeight="1">
      <c r="A11" s="24" t="s">
        <v>19</v>
      </c>
      <c r="B11" s="25">
        <f t="shared" ref="B11:D11" si="12">(B5/B3)*100</f>
        <v>10.07530786</v>
      </c>
      <c r="C11" s="25">
        <f t="shared" si="12"/>
        <v>8.941708739</v>
      </c>
      <c r="D11" s="25">
        <f t="shared" si="12"/>
        <v>9.570746628</v>
      </c>
      <c r="F11" s="24" t="s">
        <v>19</v>
      </c>
      <c r="G11" s="25">
        <f t="shared" ref="G11:I11" si="13">(G5/G3)*100</f>
        <v>10.07530786</v>
      </c>
      <c r="H11" s="25">
        <f t="shared" si="13"/>
        <v>8.941708739</v>
      </c>
      <c r="I11" s="25">
        <f t="shared" si="13"/>
        <v>9.570746628</v>
      </c>
    </row>
    <row r="12" ht="14.25" customHeight="1">
      <c r="A12" s="24" t="s">
        <v>20</v>
      </c>
      <c r="B12" s="25">
        <f t="shared" ref="B12:D12" si="14">(B4/B3)*100</f>
        <v>89.92469214</v>
      </c>
      <c r="C12" s="25">
        <f t="shared" si="14"/>
        <v>91.05829126</v>
      </c>
      <c r="D12" s="25">
        <f t="shared" si="14"/>
        <v>90.42925337</v>
      </c>
      <c r="F12" s="24" t="s">
        <v>20</v>
      </c>
      <c r="G12" s="25">
        <f t="shared" ref="G12:I12" si="15">(G4/G3)*100</f>
        <v>89.92469214</v>
      </c>
      <c r="H12" s="25">
        <f t="shared" si="15"/>
        <v>91.05829126</v>
      </c>
      <c r="I12" s="25">
        <f t="shared" si="15"/>
        <v>90.42925337</v>
      </c>
    </row>
    <row r="13" ht="14.25" customHeight="1">
      <c r="A13" s="24" t="s">
        <v>21</v>
      </c>
      <c r="B13" s="25">
        <f t="shared" ref="B13:D13" si="16">(B3/B10)*100</f>
        <v>79.85734765</v>
      </c>
      <c r="C13" s="25">
        <f t="shared" si="16"/>
        <v>60.47802484</v>
      </c>
      <c r="D13" s="25">
        <f t="shared" si="16"/>
        <v>69.88938115</v>
      </c>
      <c r="F13" s="24" t="s">
        <v>21</v>
      </c>
      <c r="G13" s="25">
        <f t="shared" ref="G13:I13" si="17">(G3/G10)*100</f>
        <v>79.85734765</v>
      </c>
      <c r="H13" s="25">
        <f t="shared" si="17"/>
        <v>60.47802484</v>
      </c>
      <c r="I13" s="25">
        <f t="shared" si="17"/>
        <v>69.88938115</v>
      </c>
    </row>
    <row r="14" ht="14.25" customHeight="1">
      <c r="A14" s="26"/>
      <c r="F14" s="26" t="s">
        <v>22</v>
      </c>
    </row>
    <row r="15" ht="14.25" customHeight="1"/>
    <row r="16" ht="14.25" customHeight="1"/>
    <row r="17" ht="14.25" customHeight="1"/>
    <row r="18" ht="14.25" customHeight="1">
      <c r="F18" s="27" t="s">
        <v>23</v>
      </c>
    </row>
    <row r="19" ht="14.25" customHeight="1"/>
    <row r="20" ht="14.25" customHeight="1">
      <c r="F20" s="28" t="s">
        <v>24</v>
      </c>
      <c r="G20" s="28">
        <v>2020.0</v>
      </c>
      <c r="H20" s="29">
        <f t="shared" ref="H20:K20" si="18">G20+1</f>
        <v>2021</v>
      </c>
      <c r="I20" s="29">
        <f t="shared" si="18"/>
        <v>2022</v>
      </c>
      <c r="J20" s="29">
        <f t="shared" si="18"/>
        <v>2023</v>
      </c>
      <c r="K20" s="29">
        <f t="shared" si="18"/>
        <v>2024</v>
      </c>
    </row>
    <row r="21" ht="14.25" customHeight="1">
      <c r="F21" s="29"/>
      <c r="G21" s="29"/>
      <c r="H21" s="29"/>
      <c r="I21" s="29"/>
      <c r="J21" s="29"/>
      <c r="K21" s="29"/>
    </row>
    <row r="22" ht="14.25" customHeight="1">
      <c r="F22" s="30" t="s">
        <v>11</v>
      </c>
      <c r="G22" s="31">
        <f t="shared" ref="G22:G25" si="19">round(P6/$P$9*100.2,0)</f>
        <v>2</v>
      </c>
      <c r="H22" s="31">
        <f t="shared" ref="H22:H25" si="20">round(Q6/$Q$9*100.2,0)</f>
        <v>2</v>
      </c>
      <c r="I22" s="31">
        <f t="shared" ref="I22:I25" si="21">round(R6/$R$9*100.2,0)</f>
        <v>1</v>
      </c>
      <c r="J22" s="31">
        <f t="shared" ref="J22:J25" si="22">round(S6/$S$9*100.2,0)</f>
        <v>2</v>
      </c>
      <c r="K22" s="31">
        <f t="shared" ref="K22:K25" si="23">round(T6/$T$9*100.2,0)</f>
        <v>2</v>
      </c>
    </row>
    <row r="23" ht="14.25" customHeight="1">
      <c r="F23" s="30" t="s">
        <v>13</v>
      </c>
      <c r="G23" s="31">
        <f t="shared" si="19"/>
        <v>26</v>
      </c>
      <c r="H23" s="31">
        <f t="shared" si="20"/>
        <v>26</v>
      </c>
      <c r="I23" s="31">
        <f t="shared" si="21"/>
        <v>28</v>
      </c>
      <c r="J23" s="31">
        <f t="shared" si="22"/>
        <v>26</v>
      </c>
      <c r="K23" s="31">
        <f t="shared" si="23"/>
        <v>28</v>
      </c>
    </row>
    <row r="24" ht="14.25" customHeight="1">
      <c r="F24" s="30" t="s">
        <v>15</v>
      </c>
      <c r="G24" s="31">
        <f t="shared" si="19"/>
        <v>73</v>
      </c>
      <c r="H24" s="31">
        <f t="shared" si="20"/>
        <v>72</v>
      </c>
      <c r="I24" s="31">
        <f t="shared" si="21"/>
        <v>70</v>
      </c>
      <c r="J24" s="31">
        <f t="shared" si="22"/>
        <v>72</v>
      </c>
      <c r="K24" s="31">
        <f t="shared" si="23"/>
        <v>70</v>
      </c>
    </row>
    <row r="25" ht="14.25" customHeight="1">
      <c r="F25" s="30" t="s">
        <v>17</v>
      </c>
      <c r="G25" s="31">
        <f t="shared" si="19"/>
        <v>100</v>
      </c>
      <c r="H25" s="31">
        <f t="shared" si="20"/>
        <v>100</v>
      </c>
      <c r="I25" s="31">
        <f t="shared" si="21"/>
        <v>100</v>
      </c>
      <c r="J25" s="31">
        <f t="shared" si="22"/>
        <v>100</v>
      </c>
      <c r="K25" s="31">
        <f t="shared" si="23"/>
        <v>100</v>
      </c>
    </row>
    <row r="26" ht="14.25" customHeight="1"/>
    <row r="27" ht="14.25" customHeight="1"/>
    <row r="28" ht="14.25" customHeight="1">
      <c r="F28" s="32" t="s">
        <v>25</v>
      </c>
    </row>
    <row r="29" ht="14.25" customHeight="1">
      <c r="F29" s="14"/>
      <c r="G29" s="14"/>
      <c r="H29" s="14"/>
      <c r="I29" s="14"/>
      <c r="J29" s="14"/>
      <c r="K29" s="14"/>
      <c r="L29" s="14"/>
    </row>
    <row r="30" ht="14.25" customHeight="1">
      <c r="F30" s="14"/>
      <c r="G30" s="14"/>
      <c r="H30" s="14"/>
      <c r="I30" s="14"/>
      <c r="J30" s="14"/>
      <c r="K30" s="14"/>
      <c r="L30" s="14"/>
    </row>
    <row r="31" ht="14.25" customHeight="1">
      <c r="F31" s="33"/>
      <c r="G31" s="34">
        <v>2020.0</v>
      </c>
      <c r="H31" s="34">
        <v>2021.0</v>
      </c>
      <c r="I31" s="34">
        <v>2022.0</v>
      </c>
      <c r="J31" s="34">
        <v>2023.0</v>
      </c>
      <c r="K31" s="34">
        <v>2024.0</v>
      </c>
      <c r="L31" s="14"/>
    </row>
    <row r="32" ht="14.25" customHeight="1">
      <c r="F32" s="35" t="s">
        <v>26</v>
      </c>
      <c r="G32" s="34">
        <v>28.52</v>
      </c>
      <c r="H32" s="34">
        <v>28.59</v>
      </c>
      <c r="I32" s="34">
        <v>28.68</v>
      </c>
      <c r="J32" s="34">
        <v>28.77</v>
      </c>
      <c r="K32" s="34">
        <v>28.91</v>
      </c>
      <c r="L32" s="14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D1"/>
    <mergeCell ref="F1:I1"/>
    <mergeCell ref="F18:J18"/>
    <mergeCell ref="F28:L28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14"/>
    <col customWidth="1" min="2" max="4" width="10.57"/>
    <col customWidth="1" min="5" max="5" width="8.71"/>
    <col customWidth="1" min="6" max="6" width="39.29"/>
    <col customWidth="1" min="7" max="9" width="10.57"/>
    <col customWidth="1" min="10" max="26" width="8.71"/>
  </cols>
  <sheetData>
    <row r="1" ht="34.5" customHeight="1">
      <c r="A1" s="1"/>
      <c r="B1" s="2"/>
      <c r="C1" s="2"/>
      <c r="D1" s="3"/>
      <c r="F1" s="1" t="s">
        <v>0</v>
      </c>
      <c r="G1" s="2"/>
      <c r="H1" s="2"/>
      <c r="I1" s="3"/>
    </row>
    <row r="2" ht="14.25" customHeight="1">
      <c r="A2" s="4" t="s">
        <v>1</v>
      </c>
      <c r="B2" s="4" t="s">
        <v>2</v>
      </c>
      <c r="C2" s="4" t="s">
        <v>3</v>
      </c>
      <c r="D2" s="4" t="s">
        <v>4</v>
      </c>
      <c r="F2" s="5" t="s">
        <v>1</v>
      </c>
      <c r="G2" s="5" t="s">
        <v>2</v>
      </c>
      <c r="H2" s="5" t="s">
        <v>3</v>
      </c>
      <c r="I2" s="5" t="s">
        <v>4</v>
      </c>
    </row>
    <row r="3" ht="14.25" customHeight="1">
      <c r="A3" s="7" t="s">
        <v>6</v>
      </c>
      <c r="B3" s="8">
        <f t="shared" ref="B3:C3" si="1">SUM(B4:B5)</f>
        <v>579328</v>
      </c>
      <c r="C3" s="8">
        <f t="shared" si="1"/>
        <v>455466</v>
      </c>
      <c r="D3" s="8">
        <f t="shared" ref="D3:D9" si="2">SUM(B3:C3)</f>
        <v>1034794</v>
      </c>
      <c r="F3" s="7" t="s">
        <v>6</v>
      </c>
      <c r="G3" s="9">
        <f>(B3/$B$10)*$G$10</f>
        <v>38.86172121</v>
      </c>
      <c r="H3" s="9">
        <f>(C3/$C$10)*$H$10</f>
        <v>30.55297295</v>
      </c>
      <c r="I3" s="9">
        <f>(D3/$D$10)*$I$10</f>
        <v>69.41469416</v>
      </c>
    </row>
    <row r="4" ht="14.25" customHeight="1">
      <c r="A4" s="10" t="s">
        <v>7</v>
      </c>
      <c r="B4" s="11">
        <v>521351.0</v>
      </c>
      <c r="C4" s="11">
        <v>414725.0</v>
      </c>
      <c r="D4" s="11">
        <f t="shared" si="2"/>
        <v>936076</v>
      </c>
      <c r="F4" s="10" t="s">
        <v>7</v>
      </c>
      <c r="G4" s="12">
        <f t="shared" ref="G4:G5" si="3">(B4/$B$3)*$G$3</f>
        <v>34.97258412</v>
      </c>
      <c r="H4" s="12">
        <f t="shared" ref="H4:H5" si="4">(C4/$C$3)*$H$3</f>
        <v>27.82003861</v>
      </c>
      <c r="I4" s="12">
        <f t="shared" ref="I4:I5" si="5">(D4/$D$3)*$I$3</f>
        <v>62.79262273</v>
      </c>
    </row>
    <row r="5" ht="14.25" customHeight="1">
      <c r="A5" s="10" t="s">
        <v>9</v>
      </c>
      <c r="B5" s="11">
        <v>57977.0</v>
      </c>
      <c r="C5" s="11">
        <v>40741.0</v>
      </c>
      <c r="D5" s="11">
        <f t="shared" si="2"/>
        <v>98718</v>
      </c>
      <c r="F5" s="10" t="s">
        <v>9</v>
      </c>
      <c r="G5" s="12">
        <f t="shared" si="3"/>
        <v>3.889137087</v>
      </c>
      <c r="H5" s="12">
        <f t="shared" si="4"/>
        <v>2.732934337</v>
      </c>
      <c r="I5" s="12">
        <f t="shared" si="5"/>
        <v>6.622071425</v>
      </c>
    </row>
    <row r="6" ht="14.25" customHeight="1">
      <c r="A6" s="7" t="s">
        <v>10</v>
      </c>
      <c r="B6" s="8">
        <f t="shared" ref="B6:C6" si="6">SUM(B7:B9)</f>
        <v>144914</v>
      </c>
      <c r="C6" s="8">
        <f t="shared" si="6"/>
        <v>311034</v>
      </c>
      <c r="D6" s="8">
        <f t="shared" si="2"/>
        <v>455948</v>
      </c>
      <c r="F6" s="7" t="s">
        <v>10</v>
      </c>
      <c r="G6" s="9">
        <f>(B6/$B$10)*$G$10</f>
        <v>9.720930919</v>
      </c>
      <c r="H6" s="9">
        <f>(C6/$C$10)*$H$10</f>
        <v>20.86437492</v>
      </c>
      <c r="I6" s="9">
        <f>(D6/$D$10)*$I$10</f>
        <v>30.58530584</v>
      </c>
    </row>
    <row r="7" ht="14.25" customHeight="1">
      <c r="A7" s="10" t="s">
        <v>12</v>
      </c>
      <c r="B7" s="11">
        <v>80323.0</v>
      </c>
      <c r="C7" s="11">
        <v>85474.0</v>
      </c>
      <c r="D7" s="11">
        <f t="shared" si="2"/>
        <v>165797</v>
      </c>
      <c r="F7" s="10" t="s">
        <v>12</v>
      </c>
      <c r="G7" s="12">
        <f t="shared" ref="G7:G9" si="7">(B7/$B$6)*$G$6</f>
        <v>5.388122157</v>
      </c>
      <c r="H7" s="12">
        <f t="shared" ref="H7:H9" si="8">(C7/$C$6)*$H$6</f>
        <v>5.733654784</v>
      </c>
      <c r="I7" s="12">
        <f t="shared" ref="I7:I9" si="9">(D7/$D$6)*$I$6</f>
        <v>11.12177694</v>
      </c>
    </row>
    <row r="8" ht="14.25" customHeight="1">
      <c r="A8" s="10" t="s">
        <v>14</v>
      </c>
      <c r="B8" s="11">
        <v>24223.0</v>
      </c>
      <c r="C8" s="11">
        <v>198056.0</v>
      </c>
      <c r="D8" s="11">
        <f t="shared" si="2"/>
        <v>222279</v>
      </c>
      <c r="F8" s="10" t="s">
        <v>14</v>
      </c>
      <c r="G8" s="12">
        <f t="shared" si="7"/>
        <v>1.624895522</v>
      </c>
      <c r="H8" s="12">
        <f t="shared" si="8"/>
        <v>13.28573288</v>
      </c>
      <c r="I8" s="12">
        <f t="shared" si="9"/>
        <v>14.9106284</v>
      </c>
    </row>
    <row r="9" ht="14.25" customHeight="1">
      <c r="A9" s="10" t="s">
        <v>16</v>
      </c>
      <c r="B9" s="11">
        <v>40368.0</v>
      </c>
      <c r="C9" s="11">
        <v>27504.0</v>
      </c>
      <c r="D9" s="11">
        <f t="shared" si="2"/>
        <v>67872</v>
      </c>
      <c r="F9" s="10" t="s">
        <v>16</v>
      </c>
      <c r="G9" s="12">
        <f t="shared" si="7"/>
        <v>2.707913241</v>
      </c>
      <c r="H9" s="12">
        <f t="shared" si="8"/>
        <v>1.844987261</v>
      </c>
      <c r="I9" s="12">
        <f t="shared" si="9"/>
        <v>4.552900502</v>
      </c>
    </row>
    <row r="10" ht="14.25" customHeight="1">
      <c r="A10" s="7" t="s">
        <v>18</v>
      </c>
      <c r="B10" s="8">
        <f t="shared" ref="B10:D10" si="10">B3+B6</f>
        <v>724242</v>
      </c>
      <c r="C10" s="8">
        <f t="shared" si="10"/>
        <v>766500</v>
      </c>
      <c r="D10" s="8">
        <f t="shared" si="10"/>
        <v>1490742</v>
      </c>
      <c r="F10" s="22" t="s">
        <v>18</v>
      </c>
      <c r="G10" s="23">
        <f t="shared" ref="G10:H10" si="11">(B10/$D$10)*100</f>
        <v>48.58265213</v>
      </c>
      <c r="H10" s="23">
        <f t="shared" si="11"/>
        <v>51.41734787</v>
      </c>
      <c r="I10" s="23">
        <f>G10+H10</f>
        <v>100</v>
      </c>
    </row>
    <row r="11" ht="14.25" customHeight="1">
      <c r="A11" s="24" t="s">
        <v>19</v>
      </c>
      <c r="B11" s="25">
        <f t="shared" ref="B11:D11" si="12">(B5/B3)*100</f>
        <v>10.00762953</v>
      </c>
      <c r="C11" s="25">
        <f t="shared" si="12"/>
        <v>8.944904779</v>
      </c>
      <c r="D11" s="25">
        <f t="shared" si="12"/>
        <v>9.539869771</v>
      </c>
      <c r="F11" s="24" t="s">
        <v>19</v>
      </c>
      <c r="G11" s="25">
        <f t="shared" ref="G11:I11" si="13">(G5/G3)*100</f>
        <v>10.00762953</v>
      </c>
      <c r="H11" s="25">
        <f t="shared" si="13"/>
        <v>8.944904779</v>
      </c>
      <c r="I11" s="25">
        <f t="shared" si="13"/>
        <v>9.539869771</v>
      </c>
    </row>
    <row r="12" ht="14.25" customHeight="1">
      <c r="A12" s="24" t="s">
        <v>20</v>
      </c>
      <c r="B12" s="25">
        <f t="shared" ref="B12:D12" si="14">(B4/B3)*100</f>
        <v>89.99237047</v>
      </c>
      <c r="C12" s="25">
        <f t="shared" si="14"/>
        <v>91.05509522</v>
      </c>
      <c r="D12" s="25">
        <f t="shared" si="14"/>
        <v>90.46013023</v>
      </c>
      <c r="F12" s="24" t="s">
        <v>20</v>
      </c>
      <c r="G12" s="25">
        <f t="shared" ref="G12:I12" si="15">(G4/G3)*100</f>
        <v>89.99237047</v>
      </c>
      <c r="H12" s="25">
        <f t="shared" si="15"/>
        <v>91.05509522</v>
      </c>
      <c r="I12" s="25">
        <f t="shared" si="15"/>
        <v>90.46013023</v>
      </c>
    </row>
    <row r="13" ht="14.25" customHeight="1">
      <c r="A13" s="24" t="s">
        <v>21</v>
      </c>
      <c r="B13" s="25">
        <f t="shared" ref="B13:D13" si="16">(B3/B10)*100</f>
        <v>79.99094225</v>
      </c>
      <c r="C13" s="25">
        <f t="shared" si="16"/>
        <v>59.42152642</v>
      </c>
      <c r="D13" s="25">
        <f t="shared" si="16"/>
        <v>69.41469416</v>
      </c>
      <c r="F13" s="24" t="s">
        <v>21</v>
      </c>
      <c r="G13" s="25">
        <f t="shared" ref="G13:I13" si="17">(G3/G10)*100</f>
        <v>79.99094225</v>
      </c>
      <c r="H13" s="25">
        <f t="shared" si="17"/>
        <v>59.42152642</v>
      </c>
      <c r="I13" s="25">
        <f t="shared" si="17"/>
        <v>69.41469416</v>
      </c>
    </row>
    <row r="14" ht="14.25" customHeight="1">
      <c r="A14" s="26"/>
      <c r="F14" s="26" t="s">
        <v>22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F1:I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71"/>
    <col customWidth="1" min="2" max="3" width="10.57"/>
    <col customWidth="1" min="4" max="4" width="10.43"/>
    <col customWidth="1" min="5" max="5" width="8.71"/>
    <col customWidth="1" min="6" max="6" width="39.29"/>
    <col customWidth="1" min="7" max="9" width="10.57"/>
    <col customWidth="1" min="10" max="26" width="8.71"/>
  </cols>
  <sheetData>
    <row r="1" ht="34.5" customHeight="1">
      <c r="A1" s="1"/>
      <c r="B1" s="2"/>
      <c r="C1" s="2"/>
      <c r="D1" s="3"/>
      <c r="F1" s="1" t="s">
        <v>0</v>
      </c>
      <c r="G1" s="2"/>
      <c r="H1" s="2"/>
      <c r="I1" s="3"/>
    </row>
    <row r="2" ht="14.25" customHeight="1">
      <c r="A2" s="4" t="s">
        <v>1</v>
      </c>
      <c r="B2" s="4" t="s">
        <v>2</v>
      </c>
      <c r="C2" s="4" t="s">
        <v>3</v>
      </c>
      <c r="D2" s="4" t="s">
        <v>4</v>
      </c>
      <c r="F2" s="5" t="s">
        <v>1</v>
      </c>
      <c r="G2" s="5" t="s">
        <v>2</v>
      </c>
      <c r="H2" s="5" t="s">
        <v>3</v>
      </c>
      <c r="I2" s="5" t="s">
        <v>4</v>
      </c>
    </row>
    <row r="3" ht="14.25" customHeight="1">
      <c r="A3" s="7" t="s">
        <v>6</v>
      </c>
      <c r="B3" s="8">
        <f t="shared" ref="B3:C3" si="1">SUM(B4:B5)</f>
        <v>619163</v>
      </c>
      <c r="C3" s="8">
        <f t="shared" si="1"/>
        <v>456664</v>
      </c>
      <c r="D3" s="8">
        <f t="shared" ref="D3:D9" si="2">SUM(B3:C3)</f>
        <v>1075827</v>
      </c>
      <c r="F3" s="7" t="s">
        <v>6</v>
      </c>
      <c r="G3" s="9">
        <f>(B3/$B$10)*$G$10</f>
        <v>40.83657994</v>
      </c>
      <c r="H3" s="9">
        <f>(C3/$C$10)*$H$10</f>
        <v>30.11904126</v>
      </c>
      <c r="I3" s="9">
        <f>(D3/$D$10)*$I$10</f>
        <v>70.9556212</v>
      </c>
    </row>
    <row r="4" ht="14.25" customHeight="1">
      <c r="A4" s="10" t="s">
        <v>7</v>
      </c>
      <c r="B4" s="11">
        <v>557795.0</v>
      </c>
      <c r="C4" s="11">
        <v>436296.0</v>
      </c>
      <c r="D4" s="11">
        <f t="shared" si="2"/>
        <v>994091</v>
      </c>
      <c r="F4" s="10" t="s">
        <v>7</v>
      </c>
      <c r="G4" s="12">
        <f t="shared" ref="G4:G5" si="3">(B4/$B$3)*$G$3</f>
        <v>36.7890848</v>
      </c>
      <c r="H4" s="12">
        <f t="shared" ref="H4:H5" si="4">(C4/$C$3)*$H$3</f>
        <v>28.77568021</v>
      </c>
      <c r="I4" s="12">
        <f t="shared" ref="I4:I5" si="5">(D4/$D$3)*$I$3</f>
        <v>65.564765</v>
      </c>
    </row>
    <row r="5" ht="14.25" customHeight="1">
      <c r="A5" s="10" t="s">
        <v>9</v>
      </c>
      <c r="B5" s="11">
        <v>61368.0</v>
      </c>
      <c r="C5" s="11">
        <v>20368.0</v>
      </c>
      <c r="D5" s="11">
        <f t="shared" si="2"/>
        <v>81736</v>
      </c>
      <c r="F5" s="10" t="s">
        <v>9</v>
      </c>
      <c r="G5" s="12">
        <f t="shared" si="3"/>
        <v>4.047495147</v>
      </c>
      <c r="H5" s="12">
        <f t="shared" si="4"/>
        <v>1.343361054</v>
      </c>
      <c r="I5" s="12">
        <f t="shared" si="5"/>
        <v>5.390856201</v>
      </c>
    </row>
    <row r="6" ht="14.25" customHeight="1">
      <c r="A6" s="7" t="s">
        <v>10</v>
      </c>
      <c r="B6" s="8">
        <f t="shared" ref="B6:C6" si="6">SUM(B7:B9)</f>
        <v>117643</v>
      </c>
      <c r="C6" s="8">
        <f t="shared" si="6"/>
        <v>322727</v>
      </c>
      <c r="D6" s="8">
        <f t="shared" si="2"/>
        <v>440370</v>
      </c>
      <c r="F6" s="7" t="s">
        <v>10</v>
      </c>
      <c r="G6" s="9">
        <f>(B6/$B$10)*$G$10</f>
        <v>7.759084077</v>
      </c>
      <c r="H6" s="9">
        <f>(C6/$C$10)*$H$10</f>
        <v>21.28529472</v>
      </c>
      <c r="I6" s="9">
        <f>(D6/$D$10)*$I$10</f>
        <v>29.0443788</v>
      </c>
    </row>
    <row r="7" ht="14.25" customHeight="1">
      <c r="A7" s="10" t="s">
        <v>12</v>
      </c>
      <c r="B7" s="11">
        <v>49015.0</v>
      </c>
      <c r="C7" s="11">
        <v>90663.0</v>
      </c>
      <c r="D7" s="11">
        <f t="shared" si="2"/>
        <v>139678</v>
      </c>
      <c r="F7" s="10" t="s">
        <v>12</v>
      </c>
      <c r="G7" s="12">
        <f t="shared" ref="G7:G9" si="7">(B7/$B$6)*$G$6</f>
        <v>3.232759331</v>
      </c>
      <c r="H7" s="12">
        <f t="shared" ref="H7:H9" si="8">(C7/$C$6)*$H$6</f>
        <v>5.979631934</v>
      </c>
      <c r="I7" s="12">
        <f t="shared" ref="I7:I9" si="9">(D7/$D$6)*$I$6</f>
        <v>9.212391266</v>
      </c>
    </row>
    <row r="8" ht="14.25" customHeight="1">
      <c r="A8" s="10" t="s">
        <v>14</v>
      </c>
      <c r="B8" s="11">
        <v>38374.0</v>
      </c>
      <c r="C8" s="11">
        <v>203071.0</v>
      </c>
      <c r="D8" s="11">
        <f t="shared" si="2"/>
        <v>241445</v>
      </c>
      <c r="F8" s="10" t="s">
        <v>14</v>
      </c>
      <c r="G8" s="12">
        <f t="shared" si="7"/>
        <v>2.530937602</v>
      </c>
      <c r="H8" s="12">
        <f t="shared" si="8"/>
        <v>13.39344426</v>
      </c>
      <c r="I8" s="12">
        <f t="shared" si="9"/>
        <v>15.92438186</v>
      </c>
    </row>
    <row r="9" ht="14.25" customHeight="1">
      <c r="A9" s="10" t="s">
        <v>16</v>
      </c>
      <c r="B9" s="11">
        <v>30254.0</v>
      </c>
      <c r="C9" s="11">
        <v>28993.0</v>
      </c>
      <c r="D9" s="11">
        <f t="shared" si="2"/>
        <v>59247</v>
      </c>
      <c r="F9" s="10" t="s">
        <v>16</v>
      </c>
      <c r="G9" s="12">
        <f t="shared" si="7"/>
        <v>1.995387143</v>
      </c>
      <c r="H9" s="12">
        <f t="shared" si="8"/>
        <v>1.912218531</v>
      </c>
      <c r="I9" s="12">
        <f t="shared" si="9"/>
        <v>3.907605674</v>
      </c>
    </row>
    <row r="10" ht="14.25" customHeight="1">
      <c r="A10" s="7" t="s">
        <v>18</v>
      </c>
      <c r="B10" s="8">
        <f t="shared" ref="B10:D10" si="10">B3+B6</f>
        <v>736806</v>
      </c>
      <c r="C10" s="8">
        <f t="shared" si="10"/>
        <v>779391</v>
      </c>
      <c r="D10" s="8">
        <f t="shared" si="10"/>
        <v>1516197</v>
      </c>
      <c r="F10" s="22" t="s">
        <v>18</v>
      </c>
      <c r="G10" s="23">
        <f t="shared" ref="G10:H10" si="11">(B10/$D$10)*100</f>
        <v>48.59566402</v>
      </c>
      <c r="H10" s="23">
        <f t="shared" si="11"/>
        <v>51.40433598</v>
      </c>
      <c r="I10" s="23">
        <f>G10+H10</f>
        <v>100</v>
      </c>
    </row>
    <row r="11" ht="14.25" customHeight="1">
      <c r="A11" s="24" t="s">
        <v>19</v>
      </c>
      <c r="B11" s="25">
        <v>9.91</v>
      </c>
      <c r="C11" s="25">
        <v>4.46</v>
      </c>
      <c r="D11" s="25">
        <v>7.6</v>
      </c>
      <c r="F11" s="24" t="s">
        <v>19</v>
      </c>
      <c r="G11" s="25">
        <f t="shared" ref="G11:I11" si="12">(G5/G3)*100</f>
        <v>9.911444967</v>
      </c>
      <c r="H11" s="25">
        <f t="shared" si="12"/>
        <v>4.46017203</v>
      </c>
      <c r="I11" s="25">
        <f t="shared" si="12"/>
        <v>7.59750406</v>
      </c>
    </row>
    <row r="12" ht="14.25" customHeight="1">
      <c r="A12" s="24" t="s">
        <v>20</v>
      </c>
      <c r="B12" s="25">
        <v>90.09</v>
      </c>
      <c r="C12" s="25">
        <v>95.54</v>
      </c>
      <c r="D12" s="25">
        <v>92.4</v>
      </c>
      <c r="F12" s="24" t="s">
        <v>20</v>
      </c>
      <c r="G12" s="25">
        <f t="shared" ref="G12:I12" si="13">(G4/G3)*100</f>
        <v>90.08855503</v>
      </c>
      <c r="H12" s="25">
        <f t="shared" si="13"/>
        <v>95.53982797</v>
      </c>
      <c r="I12" s="25">
        <f t="shared" si="13"/>
        <v>92.40249594</v>
      </c>
    </row>
    <row r="13" ht="14.25" customHeight="1">
      <c r="A13" s="24" t="s">
        <v>21</v>
      </c>
      <c r="B13" s="25">
        <v>84.03</v>
      </c>
      <c r="C13" s="25">
        <v>58.59</v>
      </c>
      <c r="D13" s="25">
        <v>70.96</v>
      </c>
      <c r="F13" s="24" t="s">
        <v>21</v>
      </c>
      <c r="G13" s="25">
        <f t="shared" ref="G13:I13" si="14">(G3/G10)*100</f>
        <v>84.03338192</v>
      </c>
      <c r="H13" s="25">
        <f t="shared" si="14"/>
        <v>58.59241382</v>
      </c>
      <c r="I13" s="25">
        <f t="shared" si="14"/>
        <v>70.9556212</v>
      </c>
    </row>
    <row r="14" ht="14.25" customHeight="1">
      <c r="A14" s="26"/>
      <c r="F14" s="26" t="s">
        <v>22</v>
      </c>
    </row>
    <row r="15" ht="14.25" customHeight="1"/>
    <row r="16" ht="14.25" customHeight="1">
      <c r="C16" s="36"/>
      <c r="D16" s="36"/>
    </row>
    <row r="17" ht="14.25" customHeight="1">
      <c r="C17" s="36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F1:I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4" width="10.57"/>
    <col customWidth="1" min="5" max="5" width="8.71"/>
    <col customWidth="1" min="6" max="6" width="39.29"/>
    <col customWidth="1" min="7" max="9" width="10.57"/>
    <col customWidth="1" min="10" max="26" width="8.71"/>
  </cols>
  <sheetData>
    <row r="1" ht="34.5" customHeight="1">
      <c r="A1" s="1"/>
      <c r="B1" s="2"/>
      <c r="C1" s="2"/>
      <c r="D1" s="3"/>
      <c r="F1" s="1" t="s">
        <v>0</v>
      </c>
      <c r="G1" s="2"/>
      <c r="H1" s="2"/>
      <c r="I1" s="3"/>
    </row>
    <row r="2" ht="14.25" customHeight="1">
      <c r="A2" s="4" t="s">
        <v>1</v>
      </c>
      <c r="B2" s="4" t="s">
        <v>2</v>
      </c>
      <c r="C2" s="4" t="s">
        <v>3</v>
      </c>
      <c r="D2" s="4" t="s">
        <v>4</v>
      </c>
      <c r="F2" s="5" t="s">
        <v>1</v>
      </c>
      <c r="G2" s="5" t="s">
        <v>2</v>
      </c>
      <c r="H2" s="5" t="s">
        <v>3</v>
      </c>
      <c r="I2" s="5" t="s">
        <v>4</v>
      </c>
    </row>
    <row r="3" ht="14.25" customHeight="1">
      <c r="A3" s="7" t="s">
        <v>6</v>
      </c>
      <c r="B3" s="8">
        <f t="shared" ref="B3:C3" si="1">SUM(B4:B5)</f>
        <v>515096</v>
      </c>
      <c r="C3" s="8">
        <f t="shared" si="1"/>
        <v>413918</v>
      </c>
      <c r="D3" s="8">
        <f t="shared" ref="D3:D9" si="2">SUM(B3:C3)</f>
        <v>929014</v>
      </c>
      <c r="F3" s="7" t="s">
        <v>6</v>
      </c>
      <c r="G3" s="9">
        <f>(B3/$B$10)*$G$10</f>
        <v>38.49127382</v>
      </c>
      <c r="H3" s="9">
        <f>(C3/$C$10)*$H$10</f>
        <v>30.93060532</v>
      </c>
      <c r="I3" s="9">
        <f>(D3/$D$10)*$I$10</f>
        <v>69.42187914</v>
      </c>
    </row>
    <row r="4" ht="14.25" customHeight="1">
      <c r="A4" s="10" t="s">
        <v>7</v>
      </c>
      <c r="B4" s="11">
        <v>489790.0</v>
      </c>
      <c r="C4" s="11">
        <v>383568.0</v>
      </c>
      <c r="D4" s="11">
        <f t="shared" si="2"/>
        <v>873358</v>
      </c>
      <c r="F4" s="10" t="s">
        <v>7</v>
      </c>
      <c r="G4" s="12">
        <f t="shared" ref="G4:G5" si="3">(B4/$B$3)*$G$3</f>
        <v>36.60024734</v>
      </c>
      <c r="H4" s="12">
        <f t="shared" ref="H4:H5" si="4">(C4/$C$3)*$H$3</f>
        <v>28.66265884</v>
      </c>
      <c r="I4" s="12">
        <f t="shared" ref="I4:I5" si="5">(D4/$D$3)*$I$3</f>
        <v>65.26290618</v>
      </c>
    </row>
    <row r="5" ht="14.25" customHeight="1">
      <c r="A5" s="10" t="s">
        <v>9</v>
      </c>
      <c r="B5" s="11">
        <v>25306.0</v>
      </c>
      <c r="C5" s="11">
        <v>30350.0</v>
      </c>
      <c r="D5" s="11">
        <f t="shared" si="2"/>
        <v>55656</v>
      </c>
      <c r="F5" s="10" t="s">
        <v>9</v>
      </c>
      <c r="G5" s="12">
        <f t="shared" si="3"/>
        <v>1.891026479</v>
      </c>
      <c r="H5" s="12">
        <f t="shared" si="4"/>
        <v>2.267946481</v>
      </c>
      <c r="I5" s="12">
        <f t="shared" si="5"/>
        <v>4.15897296</v>
      </c>
    </row>
    <row r="6" ht="14.25" customHeight="1">
      <c r="A6" s="7" t="s">
        <v>10</v>
      </c>
      <c r="B6" s="8">
        <f t="shared" ref="B6:C6" si="6">SUM(B7:B9)</f>
        <v>140582</v>
      </c>
      <c r="C6" s="8">
        <f t="shared" si="6"/>
        <v>268619</v>
      </c>
      <c r="D6" s="8">
        <f t="shared" si="2"/>
        <v>409201</v>
      </c>
      <c r="F6" s="7" t="s">
        <v>10</v>
      </c>
      <c r="G6" s="9">
        <f>(B6/$B$10)*$G$10</f>
        <v>10.50518788</v>
      </c>
      <c r="H6" s="9">
        <f>(C6/$C$10)*$H$10</f>
        <v>20.07293297</v>
      </c>
      <c r="I6" s="9">
        <f>(D6/$D$10)*$I$10</f>
        <v>30.57812086</v>
      </c>
    </row>
    <row r="7" ht="14.25" customHeight="1">
      <c r="A7" s="10" t="s">
        <v>12</v>
      </c>
      <c r="B7" s="11">
        <v>62178.0</v>
      </c>
      <c r="C7" s="11">
        <v>60873.0</v>
      </c>
      <c r="D7" s="11">
        <f t="shared" si="2"/>
        <v>123051</v>
      </c>
      <c r="F7" s="10" t="s">
        <v>12</v>
      </c>
      <c r="G7" s="12">
        <f t="shared" ref="G7:G9" si="7">(B7/$B$6)*$G$6</f>
        <v>4.646338593</v>
      </c>
      <c r="H7" s="12">
        <f t="shared" ref="H7:H9" si="8">(C7/$C$6)*$H$6</f>
        <v>4.54882063</v>
      </c>
      <c r="I7" s="12">
        <f t="shared" ref="I7:I9" si="9">(D7/$D$6)*$I$6</f>
        <v>9.195159223</v>
      </c>
    </row>
    <row r="8" ht="14.25" customHeight="1">
      <c r="A8" s="10" t="s">
        <v>14</v>
      </c>
      <c r="B8" s="11">
        <v>32107.0</v>
      </c>
      <c r="C8" s="11">
        <v>189086.0</v>
      </c>
      <c r="D8" s="11">
        <f t="shared" si="2"/>
        <v>221193</v>
      </c>
      <c r="F8" s="10" t="s">
        <v>14</v>
      </c>
      <c r="G8" s="12">
        <f t="shared" si="7"/>
        <v>2.39924078</v>
      </c>
      <c r="H8" s="12">
        <f t="shared" si="8"/>
        <v>14.12971757</v>
      </c>
      <c r="I8" s="12">
        <f t="shared" si="9"/>
        <v>16.52895835</v>
      </c>
    </row>
    <row r="9" ht="14.25" customHeight="1">
      <c r="A9" s="10" t="s">
        <v>16</v>
      </c>
      <c r="B9" s="11">
        <v>46297.0</v>
      </c>
      <c r="C9" s="11">
        <v>18660.0</v>
      </c>
      <c r="D9" s="11">
        <f t="shared" si="2"/>
        <v>64957</v>
      </c>
      <c r="F9" s="10" t="s">
        <v>16</v>
      </c>
      <c r="G9" s="12">
        <f t="shared" si="7"/>
        <v>3.459608508</v>
      </c>
      <c r="H9" s="12">
        <f t="shared" si="8"/>
        <v>1.394394772</v>
      </c>
      <c r="I9" s="12">
        <f t="shared" si="9"/>
        <v>4.85400328</v>
      </c>
    </row>
    <row r="10" ht="14.25" customHeight="1">
      <c r="A10" s="7" t="s">
        <v>18</v>
      </c>
      <c r="B10" s="8">
        <f t="shared" ref="B10:D10" si="10">B3+B6</f>
        <v>655678</v>
      </c>
      <c r="C10" s="8">
        <f t="shared" si="10"/>
        <v>682537</v>
      </c>
      <c r="D10" s="8">
        <f t="shared" si="10"/>
        <v>1338215</v>
      </c>
      <c r="F10" s="22" t="s">
        <v>18</v>
      </c>
      <c r="G10" s="23">
        <f t="shared" ref="G10:H10" si="11">(B10/$D$10)*100</f>
        <v>48.9964617</v>
      </c>
      <c r="H10" s="23">
        <f t="shared" si="11"/>
        <v>51.0035383</v>
      </c>
      <c r="I10" s="23">
        <f>G10+H10</f>
        <v>100</v>
      </c>
    </row>
    <row r="11" ht="14.25" customHeight="1">
      <c r="A11" s="24" t="s">
        <v>19</v>
      </c>
      <c r="B11" s="25">
        <v>4.91</v>
      </c>
      <c r="C11" s="25">
        <v>7.33</v>
      </c>
      <c r="D11" s="25">
        <v>5.99</v>
      </c>
      <c r="F11" s="24" t="s">
        <v>19</v>
      </c>
      <c r="G11" s="25">
        <f t="shared" ref="G11:I11" si="12">(G5/G3)*100</f>
        <v>4.912870611</v>
      </c>
      <c r="H11" s="25">
        <f t="shared" si="12"/>
        <v>7.33237018</v>
      </c>
      <c r="I11" s="25">
        <f t="shared" si="12"/>
        <v>5.990867737</v>
      </c>
    </row>
    <row r="12" ht="14.25" customHeight="1">
      <c r="A12" s="24" t="s">
        <v>20</v>
      </c>
      <c r="B12" s="25">
        <v>95.09</v>
      </c>
      <c r="C12" s="25">
        <v>92.67</v>
      </c>
      <c r="D12" s="25">
        <v>94.01</v>
      </c>
      <c r="F12" s="24" t="s">
        <v>20</v>
      </c>
      <c r="G12" s="25">
        <f t="shared" ref="G12:I12" si="13">(G4/G3)*100</f>
        <v>95.08712939</v>
      </c>
      <c r="H12" s="25">
        <f t="shared" si="13"/>
        <v>92.66762982</v>
      </c>
      <c r="I12" s="25">
        <f t="shared" si="13"/>
        <v>94.00913226</v>
      </c>
    </row>
    <row r="13" ht="14.25" customHeight="1">
      <c r="A13" s="24" t="s">
        <v>21</v>
      </c>
      <c r="B13" s="25">
        <v>78.56</v>
      </c>
      <c r="C13" s="25">
        <v>60.64</v>
      </c>
      <c r="D13" s="25">
        <v>69.42</v>
      </c>
      <c r="F13" s="24" t="s">
        <v>21</v>
      </c>
      <c r="G13" s="25">
        <f t="shared" ref="G13:I13" si="14">(G3/G10)*100</f>
        <v>78.55929282</v>
      </c>
      <c r="H13" s="25">
        <f t="shared" si="14"/>
        <v>60.64403835</v>
      </c>
      <c r="I13" s="25">
        <f t="shared" si="14"/>
        <v>69.42187914</v>
      </c>
    </row>
    <row r="14" ht="14.25" customHeight="1">
      <c r="A14" s="26"/>
      <c r="F14" s="26" t="s">
        <v>22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F1:I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0"/>
    <col customWidth="1" min="2" max="4" width="10.57"/>
    <col customWidth="1" min="5" max="5" width="8.71"/>
    <col customWidth="1" min="6" max="6" width="39.29"/>
    <col customWidth="1" min="7" max="9" width="10.57"/>
    <col customWidth="1" min="10" max="26" width="8.71"/>
  </cols>
  <sheetData>
    <row r="1" ht="34.5" customHeight="1">
      <c r="A1" s="1"/>
      <c r="B1" s="2"/>
      <c r="C1" s="2"/>
      <c r="D1" s="3"/>
      <c r="F1" s="1" t="s">
        <v>0</v>
      </c>
      <c r="G1" s="2"/>
      <c r="H1" s="2"/>
      <c r="I1" s="3"/>
    </row>
    <row r="2" ht="14.25" customHeight="1">
      <c r="A2" s="4" t="s">
        <v>1</v>
      </c>
      <c r="B2" s="4" t="s">
        <v>2</v>
      </c>
      <c r="C2" s="4" t="s">
        <v>3</v>
      </c>
      <c r="D2" s="4" t="s">
        <v>4</v>
      </c>
      <c r="F2" s="5" t="s">
        <v>1</v>
      </c>
      <c r="G2" s="5" t="s">
        <v>2</v>
      </c>
      <c r="H2" s="5" t="s">
        <v>3</v>
      </c>
      <c r="I2" s="5" t="s">
        <v>4</v>
      </c>
    </row>
    <row r="3" ht="14.25" customHeight="1">
      <c r="A3" s="7" t="s">
        <v>6</v>
      </c>
      <c r="B3" s="8">
        <f t="shared" ref="B3:C3" si="1">SUM(B4:B5)</f>
        <v>530395</v>
      </c>
      <c r="C3" s="8">
        <f t="shared" si="1"/>
        <v>416223</v>
      </c>
      <c r="D3" s="8">
        <f t="shared" ref="D3:D9" si="2">SUM(B3:C3)</f>
        <v>946618</v>
      </c>
      <c r="F3" s="7" t="s">
        <v>6</v>
      </c>
      <c r="G3" s="9">
        <f>(B3/$B$10)*$G$10</f>
        <v>39.15530347</v>
      </c>
      <c r="H3" s="9">
        <f>(C3/$C$10)*$H$10</f>
        <v>30.72679395</v>
      </c>
      <c r="I3" s="9">
        <f>(D3/$D$10)*$I$10</f>
        <v>69.88209743</v>
      </c>
    </row>
    <row r="4" ht="14.25" customHeight="1">
      <c r="A4" s="10" t="s">
        <v>7</v>
      </c>
      <c r="B4" s="11">
        <v>511399.0</v>
      </c>
      <c r="C4" s="11">
        <v>380098.0</v>
      </c>
      <c r="D4" s="11">
        <f t="shared" si="2"/>
        <v>891497</v>
      </c>
      <c r="F4" s="10" t="s">
        <v>7</v>
      </c>
      <c r="G4" s="12">
        <f t="shared" ref="G4:G5" si="3">(B4/$B$3)*$G$3</f>
        <v>37.75296344</v>
      </c>
      <c r="H4" s="12">
        <f t="shared" ref="H4:H5" si="4">(C4/$C$3)*$H$3</f>
        <v>28.05994125</v>
      </c>
      <c r="I4" s="12">
        <f t="shared" ref="I4:I5" si="5">(D4/$D$3)*$I$3</f>
        <v>65.81290469</v>
      </c>
      <c r="J4" s="36"/>
      <c r="K4" s="36"/>
      <c r="L4" s="36"/>
    </row>
    <row r="5" ht="14.25" customHeight="1">
      <c r="A5" s="10" t="s">
        <v>9</v>
      </c>
      <c r="B5" s="11">
        <v>18996.0</v>
      </c>
      <c r="C5" s="11">
        <v>36125.0</v>
      </c>
      <c r="D5" s="11">
        <f t="shared" si="2"/>
        <v>55121</v>
      </c>
      <c r="F5" s="10" t="s">
        <v>9</v>
      </c>
      <c r="G5" s="12">
        <f t="shared" si="3"/>
        <v>1.402340039</v>
      </c>
      <c r="H5" s="12">
        <f t="shared" si="4"/>
        <v>2.6668527</v>
      </c>
      <c r="I5" s="12">
        <f t="shared" si="5"/>
        <v>4.069192739</v>
      </c>
    </row>
    <row r="6" ht="14.25" customHeight="1">
      <c r="A6" s="7" t="s">
        <v>10</v>
      </c>
      <c r="B6" s="8">
        <f t="shared" ref="B6:C6" si="6">SUM(B7:B9)</f>
        <v>133237</v>
      </c>
      <c r="C6" s="8">
        <f t="shared" si="6"/>
        <v>274738</v>
      </c>
      <c r="D6" s="8">
        <f t="shared" si="2"/>
        <v>407975</v>
      </c>
      <c r="E6" s="36"/>
      <c r="F6" s="7" t="s">
        <v>10</v>
      </c>
      <c r="G6" s="9">
        <f>(B6/$B$10)*$G$10</f>
        <v>9.835943342</v>
      </c>
      <c r="H6" s="9">
        <f>(C6/$C$10)*$H$10</f>
        <v>20.28195923</v>
      </c>
      <c r="I6" s="9">
        <f>(D6/$D$10)*$I$10</f>
        <v>30.11790257</v>
      </c>
      <c r="J6" s="36"/>
    </row>
    <row r="7" ht="14.25" customHeight="1">
      <c r="A7" s="10" t="s">
        <v>12</v>
      </c>
      <c r="B7" s="11">
        <v>68496.0</v>
      </c>
      <c r="C7" s="11">
        <v>66550.0</v>
      </c>
      <c r="D7" s="11">
        <f t="shared" si="2"/>
        <v>135046</v>
      </c>
      <c r="F7" s="10" t="s">
        <v>12</v>
      </c>
      <c r="G7" s="12">
        <f t="shared" ref="G7:G9" si="7">(B7/$B$6)*$G$6</f>
        <v>5.056574189</v>
      </c>
      <c r="H7" s="12">
        <f t="shared" ref="H7:H9" si="8">(C7/$C$6)*$H$6</f>
        <v>4.912914802</v>
      </c>
      <c r="I7" s="12">
        <f t="shared" ref="I7:I9" si="9">(D7/$D$6)*$I$6</f>
        <v>9.96948899</v>
      </c>
      <c r="J7" s="36"/>
      <c r="K7" s="36"/>
      <c r="L7" s="36"/>
    </row>
    <row r="8" ht="14.25" customHeight="1">
      <c r="A8" s="10" t="s">
        <v>14</v>
      </c>
      <c r="B8" s="11">
        <v>25614.0</v>
      </c>
      <c r="C8" s="11">
        <v>188212.0</v>
      </c>
      <c r="D8" s="11">
        <f t="shared" si="2"/>
        <v>213826</v>
      </c>
      <c r="F8" s="10" t="s">
        <v>14</v>
      </c>
      <c r="G8" s="12">
        <f t="shared" si="7"/>
        <v>1.890900071</v>
      </c>
      <c r="H8" s="12">
        <f t="shared" si="8"/>
        <v>13.89435794</v>
      </c>
      <c r="I8" s="12">
        <f t="shared" si="9"/>
        <v>15.78525801</v>
      </c>
    </row>
    <row r="9" ht="14.25" customHeight="1">
      <c r="A9" s="10" t="s">
        <v>16</v>
      </c>
      <c r="B9" s="11">
        <v>39127.0</v>
      </c>
      <c r="C9" s="11">
        <v>19976.0</v>
      </c>
      <c r="D9" s="11">
        <f t="shared" si="2"/>
        <v>59103</v>
      </c>
      <c r="F9" s="10" t="s">
        <v>16</v>
      </c>
      <c r="G9" s="12">
        <f t="shared" si="7"/>
        <v>2.888469083</v>
      </c>
      <c r="H9" s="12">
        <f t="shared" si="8"/>
        <v>1.474686493</v>
      </c>
      <c r="I9" s="12">
        <f t="shared" si="9"/>
        <v>4.363155575</v>
      </c>
    </row>
    <row r="10" ht="14.25" customHeight="1">
      <c r="A10" s="7" t="s">
        <v>18</v>
      </c>
      <c r="B10" s="8">
        <f t="shared" ref="B10:D10" si="10">B3+B6</f>
        <v>663632</v>
      </c>
      <c r="C10" s="8">
        <f t="shared" si="10"/>
        <v>690961</v>
      </c>
      <c r="D10" s="8">
        <f t="shared" si="10"/>
        <v>1354593</v>
      </c>
      <c r="F10" s="22" t="s">
        <v>18</v>
      </c>
      <c r="G10" s="23">
        <f t="shared" ref="G10:H10" si="11">(B10/$D$10)*100</f>
        <v>48.99124682</v>
      </c>
      <c r="H10" s="23">
        <f t="shared" si="11"/>
        <v>51.00875318</v>
      </c>
      <c r="I10" s="23">
        <f>G10+H10</f>
        <v>100</v>
      </c>
    </row>
    <row r="11" ht="14.25" customHeight="1">
      <c r="A11" s="24" t="s">
        <v>19</v>
      </c>
      <c r="B11" s="25">
        <v>3.58</v>
      </c>
      <c r="C11" s="25">
        <v>8.68</v>
      </c>
      <c r="D11" s="25">
        <v>5.82</v>
      </c>
      <c r="F11" s="24" t="s">
        <v>19</v>
      </c>
      <c r="G11" s="25">
        <f t="shared" ref="G11:I11" si="12">(G5/G3)*100</f>
        <v>3.581481726</v>
      </c>
      <c r="H11" s="25">
        <f t="shared" si="12"/>
        <v>8.679241657</v>
      </c>
      <c r="I11" s="25">
        <f t="shared" si="12"/>
        <v>5.822940193</v>
      </c>
    </row>
    <row r="12" ht="14.25" customHeight="1">
      <c r="A12" s="24" t="s">
        <v>20</v>
      </c>
      <c r="B12" s="25">
        <v>96.42</v>
      </c>
      <c r="C12" s="25">
        <v>91.32</v>
      </c>
      <c r="D12" s="25">
        <v>94.18</v>
      </c>
      <c r="F12" s="24" t="s">
        <v>20</v>
      </c>
      <c r="G12" s="25">
        <f t="shared" ref="G12:I12" si="13">(G4/G3)*100</f>
        <v>96.41851827</v>
      </c>
      <c r="H12" s="25">
        <f t="shared" si="13"/>
        <v>91.32075834</v>
      </c>
      <c r="I12" s="25">
        <f t="shared" si="13"/>
        <v>94.17705981</v>
      </c>
    </row>
    <row r="13" ht="14.25" customHeight="1">
      <c r="A13" s="24" t="s">
        <v>21</v>
      </c>
      <c r="B13" s="25">
        <v>79.92</v>
      </c>
      <c r="C13" s="25">
        <v>60.24</v>
      </c>
      <c r="D13" s="25">
        <v>69.88</v>
      </c>
      <c r="F13" s="24" t="s">
        <v>21</v>
      </c>
      <c r="G13" s="25">
        <f t="shared" ref="G13:I13" si="14">(G3/G10)*100</f>
        <v>79.92305977</v>
      </c>
      <c r="H13" s="25">
        <f t="shared" si="14"/>
        <v>60.23827683</v>
      </c>
      <c r="I13" s="25">
        <f t="shared" si="14"/>
        <v>69.88209743</v>
      </c>
    </row>
    <row r="14" ht="14.25" customHeight="1">
      <c r="F14" s="26" t="s">
        <v>22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F1:I1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0"/>
    <col customWidth="1" min="2" max="4" width="10.57"/>
    <col customWidth="1" min="5" max="5" width="8.71"/>
    <col customWidth="1" min="6" max="6" width="39.29"/>
    <col customWidth="1" min="7" max="9" width="10.57"/>
    <col customWidth="1" min="10" max="26" width="8.71"/>
  </cols>
  <sheetData>
    <row r="1" ht="34.5" customHeight="1">
      <c r="A1" s="1"/>
      <c r="B1" s="2"/>
      <c r="C1" s="2"/>
      <c r="D1" s="3"/>
      <c r="F1" s="1" t="s">
        <v>0</v>
      </c>
      <c r="G1" s="2"/>
      <c r="H1" s="2"/>
      <c r="I1" s="3"/>
    </row>
    <row r="2" ht="14.25" customHeight="1">
      <c r="A2" s="4" t="s">
        <v>1</v>
      </c>
      <c r="B2" s="4" t="s">
        <v>2</v>
      </c>
      <c r="C2" s="4" t="s">
        <v>3</v>
      </c>
      <c r="D2" s="4" t="s">
        <v>4</v>
      </c>
      <c r="F2" s="5" t="s">
        <v>1</v>
      </c>
      <c r="G2" s="5" t="s">
        <v>2</v>
      </c>
      <c r="H2" s="5" t="s">
        <v>3</v>
      </c>
      <c r="I2" s="5" t="s">
        <v>4</v>
      </c>
    </row>
    <row r="3" ht="14.25" customHeight="1">
      <c r="A3" s="7" t="s">
        <v>6</v>
      </c>
      <c r="B3" s="37">
        <v>547829.0</v>
      </c>
      <c r="C3" s="37">
        <v>447165.0</v>
      </c>
      <c r="D3" s="8">
        <f t="shared" ref="D3:D9" si="1">SUM(B3:C3)</f>
        <v>994994</v>
      </c>
      <c r="F3" s="7" t="s">
        <v>6</v>
      </c>
      <c r="G3" s="9">
        <f>(B3/$B$10)*$G$10</f>
        <v>39.97176295</v>
      </c>
      <c r="H3" s="9">
        <f>(C3/$C$10)*$H$10</f>
        <v>32.62692078</v>
      </c>
      <c r="I3" s="9">
        <f>(D3/$D$10)*$I$10</f>
        <v>72.59868373</v>
      </c>
    </row>
    <row r="4" ht="14.25" customHeight="1">
      <c r="A4" s="10" t="s">
        <v>7</v>
      </c>
      <c r="B4" s="38">
        <v>519036.0</v>
      </c>
      <c r="C4" s="38">
        <v>419730.0</v>
      </c>
      <c r="D4" s="11">
        <f t="shared" si="1"/>
        <v>938766</v>
      </c>
      <c r="F4" s="10" t="s">
        <v>7</v>
      </c>
      <c r="G4" s="12">
        <f t="shared" ref="G4:G5" si="2">(B4/$B$3)*$G$3</f>
        <v>37.8709122</v>
      </c>
      <c r="H4" s="12">
        <f t="shared" ref="H4:H5" si="3">(C4/$C$3)*$H$3</f>
        <v>30.62515505</v>
      </c>
      <c r="I4" s="12">
        <f t="shared" ref="I4:I5" si="4">(D4/$D$3)*$I$3</f>
        <v>68.49606724</v>
      </c>
      <c r="J4" s="36"/>
      <c r="K4" s="36"/>
      <c r="L4" s="36"/>
    </row>
    <row r="5" ht="14.25" customHeight="1">
      <c r="A5" s="10" t="s">
        <v>9</v>
      </c>
      <c r="B5" s="38">
        <v>28793.0</v>
      </c>
      <c r="C5" s="38">
        <v>27435.0</v>
      </c>
      <c r="D5" s="11">
        <f t="shared" si="1"/>
        <v>56228</v>
      </c>
      <c r="F5" s="10" t="s">
        <v>9</v>
      </c>
      <c r="G5" s="12">
        <f t="shared" si="2"/>
        <v>2.10085076</v>
      </c>
      <c r="H5" s="12">
        <f t="shared" si="3"/>
        <v>2.001765727</v>
      </c>
      <c r="I5" s="12">
        <f t="shared" si="4"/>
        <v>4.102616487</v>
      </c>
    </row>
    <row r="6" ht="14.25" customHeight="1">
      <c r="A6" s="7" t="s">
        <v>10</v>
      </c>
      <c r="B6" s="37">
        <v>123487.0</v>
      </c>
      <c r="C6" s="37">
        <v>252059.0</v>
      </c>
      <c r="D6" s="8">
        <f t="shared" si="1"/>
        <v>375546</v>
      </c>
      <c r="E6" s="36"/>
      <c r="F6" s="7" t="s">
        <v>10</v>
      </c>
      <c r="G6" s="9">
        <f>(B6/$B$10)*$G$10</f>
        <v>9.010098209</v>
      </c>
      <c r="H6" s="9">
        <f>(C6/$C$10)*$H$10</f>
        <v>18.39121806</v>
      </c>
      <c r="I6" s="9">
        <f>(D6/$D$10)*$I$10</f>
        <v>27.40131627</v>
      </c>
      <c r="J6" s="36"/>
    </row>
    <row r="7" ht="14.25" customHeight="1">
      <c r="A7" s="10" t="s">
        <v>12</v>
      </c>
      <c r="B7" s="38">
        <v>58938.0</v>
      </c>
      <c r="C7" s="38">
        <v>58923.0</v>
      </c>
      <c r="D7" s="11">
        <f t="shared" si="1"/>
        <v>117861</v>
      </c>
      <c r="F7" s="10" t="s">
        <v>12</v>
      </c>
      <c r="G7" s="12">
        <f t="shared" ref="G7:G9" si="5">(B7/$B$6)*$G$6</f>
        <v>4.300348768</v>
      </c>
      <c r="H7" s="12">
        <f t="shared" ref="H7:H9" si="6">(C7/$C$6)*$H$6</f>
        <v>4.299254309</v>
      </c>
      <c r="I7" s="12">
        <f t="shared" ref="I7:I9" si="7">(D7/$D$6)*$I$6</f>
        <v>8.599603076</v>
      </c>
      <c r="J7" s="36"/>
      <c r="K7" s="36"/>
      <c r="L7" s="36"/>
    </row>
    <row r="8" ht="14.25" customHeight="1">
      <c r="A8" s="10" t="s">
        <v>14</v>
      </c>
      <c r="B8" s="38">
        <v>28311.0</v>
      </c>
      <c r="C8" s="38">
        <v>172866.0</v>
      </c>
      <c r="D8" s="11">
        <f t="shared" si="1"/>
        <v>201177</v>
      </c>
      <c r="F8" s="10" t="s">
        <v>14</v>
      </c>
      <c r="G8" s="12">
        <f t="shared" si="5"/>
        <v>2.06568214</v>
      </c>
      <c r="H8" s="12">
        <f t="shared" si="6"/>
        <v>12.61298466</v>
      </c>
      <c r="I8" s="12">
        <f t="shared" si="7"/>
        <v>14.6786668</v>
      </c>
    </row>
    <row r="9" ht="14.25" customHeight="1">
      <c r="A9" s="10" t="s">
        <v>16</v>
      </c>
      <c r="B9" s="38">
        <v>36238.0</v>
      </c>
      <c r="C9" s="38">
        <v>20270.0</v>
      </c>
      <c r="D9" s="11">
        <f t="shared" si="1"/>
        <v>56508</v>
      </c>
      <c r="F9" s="10" t="s">
        <v>16</v>
      </c>
      <c r="G9" s="12">
        <f t="shared" si="5"/>
        <v>2.644067302</v>
      </c>
      <c r="H9" s="12">
        <f t="shared" si="6"/>
        <v>1.478979089</v>
      </c>
      <c r="I9" s="12">
        <f t="shared" si="7"/>
        <v>4.12304639</v>
      </c>
    </row>
    <row r="10" ht="14.25" customHeight="1">
      <c r="A10" s="7" t="s">
        <v>18</v>
      </c>
      <c r="B10" s="8">
        <f t="shared" ref="B10:D10" si="8">B3+B6</f>
        <v>671316</v>
      </c>
      <c r="C10" s="8">
        <f t="shared" si="8"/>
        <v>699224</v>
      </c>
      <c r="D10" s="8">
        <f t="shared" si="8"/>
        <v>1370540</v>
      </c>
      <c r="F10" s="22" t="s">
        <v>18</v>
      </c>
      <c r="G10" s="23">
        <f t="shared" ref="G10:H10" si="9">(B10/$D$10)*100</f>
        <v>48.98186116</v>
      </c>
      <c r="H10" s="23">
        <f t="shared" si="9"/>
        <v>51.01813884</v>
      </c>
      <c r="I10" s="23">
        <f>G10+H10</f>
        <v>100</v>
      </c>
    </row>
    <row r="11" ht="14.25" customHeight="1">
      <c r="A11" s="24" t="s">
        <v>19</v>
      </c>
      <c r="B11" s="39">
        <v>5.26</v>
      </c>
      <c r="C11" s="39">
        <v>6.14</v>
      </c>
      <c r="D11" s="39">
        <v>5.65</v>
      </c>
      <c r="F11" s="24" t="s">
        <v>19</v>
      </c>
      <c r="G11" s="25">
        <f t="shared" ref="G11:I11" si="10">(G5/G3)*100</f>
        <v>5.255837132</v>
      </c>
      <c r="H11" s="25">
        <f t="shared" si="10"/>
        <v>6.135319177</v>
      </c>
      <c r="I11" s="25">
        <f t="shared" si="10"/>
        <v>5.651089353</v>
      </c>
    </row>
    <row r="12" ht="14.25" customHeight="1">
      <c r="A12" s="24" t="s">
        <v>20</v>
      </c>
      <c r="B12" s="39">
        <v>94.74</v>
      </c>
      <c r="C12" s="39">
        <v>93.86</v>
      </c>
      <c r="D12" s="39">
        <v>94.35</v>
      </c>
      <c r="F12" s="24" t="s">
        <v>20</v>
      </c>
      <c r="G12" s="25">
        <f t="shared" ref="G12:I12" si="11">(G4/G3)*100</f>
        <v>94.74416287</v>
      </c>
      <c r="H12" s="25">
        <f t="shared" si="11"/>
        <v>93.86468082</v>
      </c>
      <c r="I12" s="25">
        <f t="shared" si="11"/>
        <v>94.34891065</v>
      </c>
    </row>
    <row r="13" ht="14.25" customHeight="1">
      <c r="A13" s="24" t="s">
        <v>21</v>
      </c>
      <c r="B13" s="39">
        <v>81.61</v>
      </c>
      <c r="C13" s="39">
        <v>63.95</v>
      </c>
      <c r="D13" s="39">
        <v>72.6</v>
      </c>
      <c r="F13" s="24" t="s">
        <v>21</v>
      </c>
      <c r="G13" s="25">
        <f t="shared" ref="G13:I13" si="12">(G3/G10)*100</f>
        <v>81.60523509</v>
      </c>
      <c r="H13" s="25">
        <f t="shared" si="12"/>
        <v>63.95160921</v>
      </c>
      <c r="I13" s="25">
        <f t="shared" si="12"/>
        <v>72.59868373</v>
      </c>
    </row>
    <row r="14" ht="14.25" customHeight="1">
      <c r="F14" s="26" t="s">
        <v>22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F1:I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2025-04-14T02:16:03Z</dcterms:created>
  <dc:creator>bayu ardiansyah</dc:creator>
</cp:coreProperties>
</file>